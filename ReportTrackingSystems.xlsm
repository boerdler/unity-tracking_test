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simulation\Nextcloud\Tracking Systems\"/>
    </mc:Choice>
  </mc:AlternateContent>
  <bookViews>
    <workbookView xWindow="2880" yWindow="3630" windowWidth="21600" windowHeight="11385" tabRatio="712" activeTab="4"/>
  </bookViews>
  <sheets>
    <sheet name="System" sheetId="1" r:id="rId1"/>
    <sheet name="Requirements" sheetId="2" r:id="rId2"/>
    <sheet name="Experimental Procedure" sheetId="3" r:id="rId3"/>
    <sheet name="Intel T265" sheetId="5" r:id="rId4"/>
    <sheet name="Zed Mini" sheetId="9" r:id="rId5"/>
    <sheet name="Evaluation" sheetId="6" r:id="rId6"/>
  </sheets>
  <functionGroups builtInGroupCount="18"/>
  <definedNames>
    <definedName name="_1" localSheetId="4">'Zed Mini'!$F$38:$G$52</definedName>
    <definedName name="_2" localSheetId="4">'Zed Mini'!$F$55:$G$69</definedName>
    <definedName name="_3" localSheetId="4">'Zed Mini'!$F$72:$G$86</definedName>
    <definedName name="_4" localSheetId="4">'Zed Mini'!$F$107:$G$157</definedName>
    <definedName name="_5" localSheetId="4">'Zed Mini'!$F$160:$G$210</definedName>
    <definedName name="_6" localSheetId="4">'Zed Mini'!$F$213:$G$263</definedName>
  </definedNames>
  <calcPr calcId="152511" iterateDelta="1E-4"/>
</workbook>
</file>

<file path=xl/calcChain.xml><?xml version="1.0" encoding="utf-8"?>
<calcChain xmlns="http://schemas.openxmlformats.org/spreadsheetml/2006/main">
  <c r="Q314" i="9" l="1"/>
  <c r="Q311" i="9"/>
  <c r="Q308" i="9"/>
  <c r="Q305" i="9"/>
  <c r="Q302" i="9"/>
  <c r="Q299" i="9"/>
  <c r="Q296" i="9"/>
  <c r="Q293" i="9"/>
  <c r="Q290" i="9"/>
  <c r="Q287" i="9"/>
  <c r="Q284" i="9"/>
  <c r="Q281" i="9"/>
  <c r="Q278" i="9"/>
  <c r="Q275" i="9"/>
  <c r="Q272" i="9"/>
  <c r="Q269" i="9"/>
  <c r="Q266" i="9"/>
  <c r="Q261" i="9"/>
  <c r="Q258" i="9"/>
  <c r="Q255" i="9"/>
  <c r="Q252" i="9"/>
  <c r="Q249" i="9"/>
  <c r="Q246" i="9"/>
  <c r="Q243" i="9"/>
  <c r="Q240" i="9"/>
  <c r="Q237" i="9"/>
  <c r="Q234" i="9"/>
  <c r="Q231" i="9"/>
  <c r="Q228" i="9"/>
  <c r="Q225" i="9"/>
  <c r="Q222" i="9"/>
  <c r="Q219" i="9"/>
  <c r="Q216" i="9"/>
  <c r="Q213" i="9"/>
  <c r="Q208" i="9"/>
  <c r="Q205" i="9"/>
  <c r="Q202" i="9"/>
  <c r="Q199" i="9"/>
  <c r="Q196" i="9"/>
  <c r="Q193" i="9"/>
  <c r="Q190" i="9"/>
  <c r="Q187" i="9"/>
  <c r="Q184" i="9"/>
  <c r="Q181" i="9"/>
  <c r="Q178" i="9"/>
  <c r="Q175" i="9"/>
  <c r="Q172" i="9"/>
  <c r="Q169" i="9"/>
  <c r="Q166" i="9"/>
  <c r="Q163" i="9"/>
  <c r="Q160" i="9"/>
  <c r="Q155" i="9"/>
  <c r="Q152" i="9"/>
  <c r="Q149" i="9"/>
  <c r="Q146" i="9"/>
  <c r="Q143" i="9"/>
  <c r="Q140" i="9"/>
  <c r="Q137" i="9"/>
  <c r="Q134" i="9"/>
  <c r="Q131" i="9"/>
  <c r="Q128" i="9"/>
  <c r="Q125" i="9"/>
  <c r="Q122" i="9"/>
  <c r="Q119" i="9"/>
  <c r="Q116" i="9"/>
  <c r="Q113" i="9"/>
  <c r="Q110" i="9"/>
  <c r="Q107" i="9"/>
  <c r="M269" i="9"/>
  <c r="M272" i="9"/>
  <c r="M275" i="9"/>
  <c r="M278" i="9"/>
  <c r="M281" i="9"/>
  <c r="M284" i="9"/>
  <c r="M287" i="9"/>
  <c r="M290" i="9"/>
  <c r="M293" i="9"/>
  <c r="M296" i="9"/>
  <c r="M299" i="9"/>
  <c r="M302" i="9"/>
  <c r="M305" i="9"/>
  <c r="M308" i="9"/>
  <c r="M311" i="9"/>
  <c r="M314" i="9"/>
  <c r="M266" i="9"/>
  <c r="I269" i="9"/>
  <c r="I272" i="9"/>
  <c r="I275" i="9"/>
  <c r="I278" i="9"/>
  <c r="I281" i="9"/>
  <c r="I284" i="9"/>
  <c r="I287" i="9"/>
  <c r="I290" i="9"/>
  <c r="I293" i="9"/>
  <c r="I296" i="9"/>
  <c r="I299" i="9"/>
  <c r="I302" i="9"/>
  <c r="I305" i="9"/>
  <c r="I308" i="9"/>
  <c r="I311" i="9"/>
  <c r="I314" i="9"/>
  <c r="I266" i="9"/>
  <c r="Q101" i="9"/>
  <c r="Q98" i="9"/>
  <c r="Q95" i="9"/>
  <c r="Q92" i="9"/>
  <c r="Q89" i="9"/>
  <c r="Q84" i="9"/>
  <c r="Q81" i="9"/>
  <c r="Q78" i="9"/>
  <c r="Q75" i="9"/>
  <c r="Q72" i="9"/>
  <c r="Q67" i="9"/>
  <c r="Q64" i="9"/>
  <c r="Q61" i="9"/>
  <c r="Q58" i="9"/>
  <c r="Q55" i="9"/>
  <c r="Q50" i="9"/>
  <c r="Q47" i="9"/>
  <c r="Q44" i="9"/>
  <c r="Q41" i="9"/>
  <c r="Q38" i="9"/>
  <c r="M92" i="9"/>
  <c r="M95" i="9"/>
  <c r="M98" i="9"/>
  <c r="M101" i="9"/>
  <c r="M89" i="9"/>
  <c r="I92" i="9"/>
  <c r="I95" i="9"/>
  <c r="I98" i="9"/>
  <c r="I101" i="9"/>
  <c r="I89" i="9"/>
  <c r="Q278" i="5"/>
  <c r="Q314" i="5"/>
  <c r="Q311" i="5"/>
  <c r="Q308" i="5"/>
  <c r="Q305" i="5"/>
  <c r="Q302" i="5"/>
  <c r="Q299" i="5"/>
  <c r="Q296" i="5"/>
  <c r="Q293" i="5"/>
  <c r="Q290" i="5"/>
  <c r="Q287" i="5"/>
  <c r="Q284" i="5"/>
  <c r="Q281" i="5"/>
  <c r="Q275" i="5"/>
  <c r="Q272" i="5"/>
  <c r="Q269" i="5"/>
  <c r="Q266" i="5"/>
  <c r="M269" i="5"/>
  <c r="M272" i="5"/>
  <c r="M275" i="5"/>
  <c r="M278" i="5"/>
  <c r="M281" i="5"/>
  <c r="M284" i="5"/>
  <c r="M287" i="5"/>
  <c r="M290" i="5"/>
  <c r="M293" i="5"/>
  <c r="M296" i="5"/>
  <c r="M299" i="5"/>
  <c r="M302" i="5"/>
  <c r="M305" i="5"/>
  <c r="M308" i="5"/>
  <c r="M311" i="5"/>
  <c r="M314" i="5"/>
  <c r="M266" i="5"/>
  <c r="M92" i="5"/>
  <c r="M95" i="5"/>
  <c r="M98" i="5"/>
  <c r="M101" i="5"/>
  <c r="M89" i="5"/>
  <c r="Q31" i="5"/>
  <c r="Q28" i="5"/>
  <c r="Q25" i="5"/>
  <c r="Q22" i="5"/>
  <c r="Q19" i="5"/>
  <c r="Q16" i="5"/>
  <c r="Q13" i="5"/>
  <c r="Q38" i="5"/>
  <c r="Q50" i="5"/>
  <c r="Q47" i="5"/>
  <c r="Q44" i="5"/>
  <c r="Q41" i="5"/>
  <c r="Q67" i="5"/>
  <c r="Q64" i="5"/>
  <c r="Q61" i="5"/>
  <c r="Q58" i="5"/>
  <c r="Q55" i="5"/>
  <c r="Q101" i="5"/>
  <c r="Q98" i="5"/>
  <c r="Q95" i="5"/>
  <c r="Q92" i="5"/>
  <c r="Q89" i="5"/>
  <c r="Q84" i="5"/>
  <c r="Q81" i="5"/>
  <c r="Q78" i="5"/>
  <c r="Q75" i="5"/>
  <c r="Q72" i="5"/>
  <c r="Q155" i="5"/>
  <c r="Q152" i="5"/>
  <c r="Q149" i="5"/>
  <c r="Q146" i="5"/>
  <c r="Q143" i="5"/>
  <c r="Q140" i="5"/>
  <c r="Q137" i="5"/>
  <c r="Q134" i="5"/>
  <c r="Q131" i="5"/>
  <c r="Q128" i="5"/>
  <c r="Q125" i="5"/>
  <c r="Q122" i="5"/>
  <c r="Q119" i="5"/>
  <c r="Q116" i="5"/>
  <c r="Q113" i="5"/>
  <c r="Q110" i="5"/>
  <c r="Q107" i="5"/>
  <c r="Q208" i="5"/>
  <c r="Q205" i="5"/>
  <c r="Q202" i="5"/>
  <c r="Q199" i="5"/>
  <c r="Q196" i="5"/>
  <c r="Q193" i="5"/>
  <c r="Q190" i="5"/>
  <c r="Q187" i="5"/>
  <c r="Q184" i="5"/>
  <c r="Q181" i="5"/>
  <c r="Q178" i="5"/>
  <c r="Q175" i="5"/>
  <c r="Q172" i="5"/>
  <c r="Q169" i="5"/>
  <c r="Q166" i="5"/>
  <c r="Q163" i="5"/>
  <c r="Q160" i="5"/>
  <c r="Q261" i="5"/>
  <c r="Q258" i="5"/>
  <c r="Q255" i="5"/>
  <c r="Q252" i="5"/>
  <c r="Q249" i="5"/>
  <c r="Q246" i="5"/>
  <c r="Q243" i="5"/>
  <c r="Q240" i="5"/>
  <c r="Q237" i="5"/>
  <c r="Q234" i="5"/>
  <c r="Q231" i="5"/>
  <c r="Q228" i="5"/>
  <c r="Q225" i="5"/>
  <c r="Q222" i="5"/>
  <c r="Q219" i="5"/>
  <c r="Q216" i="5"/>
  <c r="Q213" i="5"/>
  <c r="O216" i="5"/>
  <c r="E3" i="6" l="1"/>
  <c r="E4" i="6"/>
  <c r="F89" i="9"/>
  <c r="P316" i="9"/>
  <c r="N316" i="9"/>
  <c r="G316" i="9"/>
  <c r="L316" i="9" s="1"/>
  <c r="F316" i="9"/>
  <c r="J316" i="9" s="1"/>
  <c r="N315" i="9"/>
  <c r="G315" i="9"/>
  <c r="L315" i="9" s="1"/>
  <c r="P315" i="9" s="1"/>
  <c r="F315" i="9"/>
  <c r="J315" i="9" s="1"/>
  <c r="P314" i="9"/>
  <c r="N314" i="9"/>
  <c r="G314" i="9"/>
  <c r="L314" i="9" s="1"/>
  <c r="F314" i="9"/>
  <c r="J314" i="9" s="1"/>
  <c r="P313" i="9"/>
  <c r="N313" i="9"/>
  <c r="G313" i="9"/>
  <c r="L313" i="9" s="1"/>
  <c r="F313" i="9"/>
  <c r="J313" i="9" s="1"/>
  <c r="P312" i="9"/>
  <c r="N312" i="9"/>
  <c r="G312" i="9"/>
  <c r="L312" i="9" s="1"/>
  <c r="F312" i="9"/>
  <c r="J312" i="9" s="1"/>
  <c r="P311" i="9"/>
  <c r="G311" i="9"/>
  <c r="L311" i="9" s="1"/>
  <c r="F311" i="9"/>
  <c r="J311" i="9" s="1"/>
  <c r="P310" i="9"/>
  <c r="N310" i="9"/>
  <c r="G310" i="9"/>
  <c r="L310" i="9" s="1"/>
  <c r="F310" i="9"/>
  <c r="J310" i="9" s="1"/>
  <c r="N309" i="9"/>
  <c r="G309" i="9"/>
  <c r="L309" i="9" s="1"/>
  <c r="P309" i="9" s="1"/>
  <c r="F309" i="9"/>
  <c r="J309" i="9" s="1"/>
  <c r="P308" i="9"/>
  <c r="N308" i="9"/>
  <c r="G308" i="9"/>
  <c r="L308" i="9" s="1"/>
  <c r="F308" i="9"/>
  <c r="P307" i="9"/>
  <c r="G307" i="9"/>
  <c r="L307" i="9" s="1"/>
  <c r="F307" i="9"/>
  <c r="J307" i="9" s="1"/>
  <c r="N307" i="9" s="1"/>
  <c r="P306" i="9"/>
  <c r="N306" i="9"/>
  <c r="G306" i="9"/>
  <c r="L306" i="9" s="1"/>
  <c r="F306" i="9"/>
  <c r="J306" i="9" s="1"/>
  <c r="P305" i="9"/>
  <c r="N305" i="9"/>
  <c r="G305" i="9"/>
  <c r="L305" i="9" s="1"/>
  <c r="F305" i="9"/>
  <c r="J305" i="9" s="1"/>
  <c r="P304" i="9"/>
  <c r="N304" i="9"/>
  <c r="G304" i="9"/>
  <c r="L304" i="9" s="1"/>
  <c r="F304" i="9"/>
  <c r="J304" i="9" s="1"/>
  <c r="N303" i="9"/>
  <c r="G303" i="9"/>
  <c r="L303" i="9" s="1"/>
  <c r="P303" i="9" s="1"/>
  <c r="F303" i="9"/>
  <c r="J303" i="9" s="1"/>
  <c r="P302" i="9"/>
  <c r="N302" i="9"/>
  <c r="G302" i="9"/>
  <c r="L302" i="9" s="1"/>
  <c r="F302" i="9"/>
  <c r="J302" i="9" s="1"/>
  <c r="P301" i="9"/>
  <c r="N301" i="9"/>
  <c r="G301" i="9"/>
  <c r="L301" i="9" s="1"/>
  <c r="F301" i="9"/>
  <c r="J301" i="9" s="1"/>
  <c r="P300" i="9"/>
  <c r="N300" i="9"/>
  <c r="G300" i="9"/>
  <c r="L300" i="9" s="1"/>
  <c r="F300" i="9"/>
  <c r="J300" i="9" s="1"/>
  <c r="P299" i="9"/>
  <c r="G299" i="9"/>
  <c r="L299" i="9" s="1"/>
  <c r="F299" i="9"/>
  <c r="P298" i="9"/>
  <c r="N298" i="9"/>
  <c r="G298" i="9"/>
  <c r="L298" i="9" s="1"/>
  <c r="F298" i="9"/>
  <c r="J298" i="9" s="1"/>
  <c r="N297" i="9"/>
  <c r="G297" i="9"/>
  <c r="L297" i="9" s="1"/>
  <c r="P297" i="9" s="1"/>
  <c r="F297" i="9"/>
  <c r="J297" i="9" s="1"/>
  <c r="P296" i="9"/>
  <c r="N296" i="9"/>
  <c r="G296" i="9"/>
  <c r="L296" i="9" s="1"/>
  <c r="F296" i="9"/>
  <c r="J296" i="9" s="1"/>
  <c r="P295" i="9"/>
  <c r="G295" i="9"/>
  <c r="L295" i="9" s="1"/>
  <c r="F295" i="9"/>
  <c r="J295" i="9" s="1"/>
  <c r="N295" i="9" s="1"/>
  <c r="P294" i="9"/>
  <c r="N294" i="9"/>
  <c r="G294" i="9"/>
  <c r="L294" i="9" s="1"/>
  <c r="F294" i="9"/>
  <c r="J294" i="9" s="1"/>
  <c r="P293" i="9"/>
  <c r="N293" i="9"/>
  <c r="G293" i="9"/>
  <c r="L293" i="9" s="1"/>
  <c r="F293" i="9"/>
  <c r="J293" i="9" s="1"/>
  <c r="P292" i="9"/>
  <c r="N292" i="9"/>
  <c r="G292" i="9"/>
  <c r="L292" i="9" s="1"/>
  <c r="F292" i="9"/>
  <c r="J292" i="9" s="1"/>
  <c r="N291" i="9"/>
  <c r="G291" i="9"/>
  <c r="L291" i="9" s="1"/>
  <c r="P291" i="9" s="1"/>
  <c r="F291" i="9"/>
  <c r="J291" i="9" s="1"/>
  <c r="P290" i="9"/>
  <c r="N290" i="9"/>
  <c r="G290" i="9"/>
  <c r="L290" i="9" s="1"/>
  <c r="F290" i="9"/>
  <c r="P289" i="9"/>
  <c r="N289" i="9"/>
  <c r="G289" i="9"/>
  <c r="L289" i="9" s="1"/>
  <c r="F289" i="9"/>
  <c r="J289" i="9" s="1"/>
  <c r="P288" i="9"/>
  <c r="N288" i="9"/>
  <c r="G288" i="9"/>
  <c r="L288" i="9" s="1"/>
  <c r="F288" i="9"/>
  <c r="J288" i="9" s="1"/>
  <c r="P287" i="9"/>
  <c r="G287" i="9"/>
  <c r="L287" i="9" s="1"/>
  <c r="F287" i="9"/>
  <c r="J287" i="9" s="1"/>
  <c r="P286" i="9"/>
  <c r="N286" i="9"/>
  <c r="G286" i="9"/>
  <c r="L286" i="9" s="1"/>
  <c r="F286" i="9"/>
  <c r="J286" i="9" s="1"/>
  <c r="N285" i="9"/>
  <c r="G285" i="9"/>
  <c r="L285" i="9" s="1"/>
  <c r="P285" i="9" s="1"/>
  <c r="F285" i="9"/>
  <c r="J285" i="9" s="1"/>
  <c r="P284" i="9"/>
  <c r="N284" i="9"/>
  <c r="G284" i="9"/>
  <c r="L284" i="9" s="1"/>
  <c r="F284" i="9"/>
  <c r="J284" i="9" s="1"/>
  <c r="P283" i="9"/>
  <c r="G283" i="9"/>
  <c r="L283" i="9" s="1"/>
  <c r="F283" i="9"/>
  <c r="J283" i="9" s="1"/>
  <c r="N283" i="9" s="1"/>
  <c r="P282" i="9"/>
  <c r="N282" i="9"/>
  <c r="G282" i="9"/>
  <c r="L282" i="9" s="1"/>
  <c r="F282" i="9"/>
  <c r="J282" i="9" s="1"/>
  <c r="P281" i="9"/>
  <c r="N281" i="9"/>
  <c r="G281" i="9"/>
  <c r="L281" i="9" s="1"/>
  <c r="F281" i="9"/>
  <c r="P280" i="9"/>
  <c r="N280" i="9"/>
  <c r="G280" i="9"/>
  <c r="L280" i="9" s="1"/>
  <c r="F280" i="9"/>
  <c r="J280" i="9" s="1"/>
  <c r="N279" i="9"/>
  <c r="G279" i="9"/>
  <c r="L279" i="9" s="1"/>
  <c r="P279" i="9" s="1"/>
  <c r="F279" i="9"/>
  <c r="J279" i="9" s="1"/>
  <c r="P278" i="9"/>
  <c r="N278" i="9"/>
  <c r="G278" i="9"/>
  <c r="L278" i="9" s="1"/>
  <c r="F278" i="9"/>
  <c r="J278" i="9" s="1"/>
  <c r="P277" i="9"/>
  <c r="N277" i="9"/>
  <c r="G277" i="9"/>
  <c r="L277" i="9" s="1"/>
  <c r="F277" i="9"/>
  <c r="J277" i="9" s="1"/>
  <c r="P276" i="9"/>
  <c r="N276" i="9"/>
  <c r="G276" i="9"/>
  <c r="L276" i="9" s="1"/>
  <c r="F276" i="9"/>
  <c r="J276" i="9" s="1"/>
  <c r="P275" i="9"/>
  <c r="G275" i="9"/>
  <c r="L275" i="9" s="1"/>
  <c r="F275" i="9"/>
  <c r="J275" i="9" s="1"/>
  <c r="P274" i="9"/>
  <c r="N274" i="9"/>
  <c r="G274" i="9"/>
  <c r="L274" i="9" s="1"/>
  <c r="F274" i="9"/>
  <c r="J274" i="9" s="1"/>
  <c r="N273" i="9"/>
  <c r="G273" i="9"/>
  <c r="L273" i="9" s="1"/>
  <c r="P273" i="9" s="1"/>
  <c r="F273" i="9"/>
  <c r="J273" i="9" s="1"/>
  <c r="P272" i="9"/>
  <c r="N272" i="9"/>
  <c r="G272" i="9"/>
  <c r="L272" i="9" s="1"/>
  <c r="F272" i="9"/>
  <c r="P271" i="9"/>
  <c r="G271" i="9"/>
  <c r="L271" i="9" s="1"/>
  <c r="F271" i="9"/>
  <c r="J271" i="9" s="1"/>
  <c r="N271" i="9" s="1"/>
  <c r="P270" i="9"/>
  <c r="N270" i="9"/>
  <c r="G270" i="9"/>
  <c r="L270" i="9" s="1"/>
  <c r="F270" i="9"/>
  <c r="J270" i="9" s="1"/>
  <c r="P269" i="9"/>
  <c r="N269" i="9"/>
  <c r="G269" i="9"/>
  <c r="L269" i="9" s="1"/>
  <c r="F269" i="9"/>
  <c r="P268" i="9"/>
  <c r="N268" i="9"/>
  <c r="G268" i="9"/>
  <c r="L268" i="9" s="1"/>
  <c r="F268" i="9"/>
  <c r="J268" i="9" s="1"/>
  <c r="P267" i="9"/>
  <c r="N267" i="9"/>
  <c r="G267" i="9"/>
  <c r="L267" i="9" s="1"/>
  <c r="F267" i="9"/>
  <c r="J267" i="9" s="1"/>
  <c r="P266" i="9"/>
  <c r="N266" i="9"/>
  <c r="G266" i="9"/>
  <c r="L266" i="9" s="1"/>
  <c r="F266" i="9"/>
  <c r="J266" i="9" s="1"/>
  <c r="P263" i="9"/>
  <c r="N263" i="9"/>
  <c r="L263" i="9"/>
  <c r="J263" i="9"/>
  <c r="N262" i="9"/>
  <c r="L262" i="9"/>
  <c r="P262" i="9" s="1"/>
  <c r="J262" i="9"/>
  <c r="P261" i="9"/>
  <c r="N261" i="9"/>
  <c r="L261" i="9"/>
  <c r="J261" i="9"/>
  <c r="H261" i="9"/>
  <c r="P260" i="9"/>
  <c r="N260" i="9"/>
  <c r="L260" i="9"/>
  <c r="J260" i="9"/>
  <c r="P259" i="9"/>
  <c r="N259" i="9"/>
  <c r="L259" i="9"/>
  <c r="J259" i="9"/>
  <c r="P258" i="9"/>
  <c r="L258" i="9"/>
  <c r="J258" i="9"/>
  <c r="K258" i="9" s="1"/>
  <c r="H258" i="9"/>
  <c r="P257" i="9"/>
  <c r="N257" i="9"/>
  <c r="L257" i="9"/>
  <c r="J257" i="9"/>
  <c r="N256" i="9"/>
  <c r="L256" i="9"/>
  <c r="P256" i="9" s="1"/>
  <c r="J256" i="9"/>
  <c r="P255" i="9"/>
  <c r="N255" i="9"/>
  <c r="L255" i="9"/>
  <c r="J255" i="9"/>
  <c r="H255" i="9"/>
  <c r="P254" i="9"/>
  <c r="L254" i="9"/>
  <c r="J254" i="9"/>
  <c r="N254" i="9" s="1"/>
  <c r="P253" i="9"/>
  <c r="N253" i="9"/>
  <c r="L253" i="9"/>
  <c r="J253" i="9"/>
  <c r="P252" i="9"/>
  <c r="N252" i="9"/>
  <c r="L252" i="9"/>
  <c r="J252" i="9"/>
  <c r="H252" i="9"/>
  <c r="P251" i="9"/>
  <c r="N251" i="9"/>
  <c r="L251" i="9"/>
  <c r="J251" i="9"/>
  <c r="N250" i="9"/>
  <c r="L250" i="9"/>
  <c r="P250" i="9" s="1"/>
  <c r="J250" i="9"/>
  <c r="P249" i="9"/>
  <c r="N249" i="9"/>
  <c r="L249" i="9"/>
  <c r="J249" i="9"/>
  <c r="H249" i="9"/>
  <c r="P248" i="9"/>
  <c r="N248" i="9"/>
  <c r="L248" i="9"/>
  <c r="J248" i="9"/>
  <c r="P247" i="9"/>
  <c r="N247" i="9"/>
  <c r="L247" i="9"/>
  <c r="J247" i="9"/>
  <c r="P246" i="9"/>
  <c r="L246" i="9"/>
  <c r="J246" i="9"/>
  <c r="N246" i="9" s="1"/>
  <c r="H246" i="9"/>
  <c r="P245" i="9"/>
  <c r="N245" i="9"/>
  <c r="L245" i="9"/>
  <c r="J245" i="9"/>
  <c r="N244" i="9"/>
  <c r="L244" i="9"/>
  <c r="P244" i="9" s="1"/>
  <c r="J244" i="9"/>
  <c r="P243" i="9"/>
  <c r="N243" i="9"/>
  <c r="L243" i="9"/>
  <c r="J243" i="9"/>
  <c r="H243" i="9"/>
  <c r="P242" i="9"/>
  <c r="L242" i="9"/>
  <c r="J242" i="9"/>
  <c r="N242" i="9" s="1"/>
  <c r="P241" i="9"/>
  <c r="N241" i="9"/>
  <c r="L241" i="9"/>
  <c r="J241" i="9"/>
  <c r="P240" i="9"/>
  <c r="N240" i="9"/>
  <c r="L240" i="9"/>
  <c r="J240" i="9"/>
  <c r="H240" i="9"/>
  <c r="P239" i="9"/>
  <c r="N239" i="9"/>
  <c r="L239" i="9"/>
  <c r="J239" i="9"/>
  <c r="N238" i="9"/>
  <c r="L238" i="9"/>
  <c r="P238" i="9" s="1"/>
  <c r="J238" i="9"/>
  <c r="P237" i="9"/>
  <c r="N237" i="9"/>
  <c r="L237" i="9"/>
  <c r="J237" i="9"/>
  <c r="H237" i="9"/>
  <c r="P236" i="9"/>
  <c r="N236" i="9"/>
  <c r="L236" i="9"/>
  <c r="J236" i="9"/>
  <c r="P235" i="9"/>
  <c r="N235" i="9"/>
  <c r="L235" i="9"/>
  <c r="J235" i="9"/>
  <c r="P234" i="9"/>
  <c r="L234" i="9"/>
  <c r="J234" i="9"/>
  <c r="N234" i="9" s="1"/>
  <c r="H234" i="9"/>
  <c r="P233" i="9"/>
  <c r="N233" i="9"/>
  <c r="L233" i="9"/>
  <c r="J233" i="9"/>
  <c r="N232" i="9"/>
  <c r="L232" i="9"/>
  <c r="P232" i="9" s="1"/>
  <c r="J232" i="9"/>
  <c r="P231" i="9"/>
  <c r="N231" i="9"/>
  <c r="L231" i="9"/>
  <c r="J231" i="9"/>
  <c r="K231" i="9" s="1"/>
  <c r="H231" i="9"/>
  <c r="P230" i="9"/>
  <c r="L230" i="9"/>
  <c r="J230" i="9"/>
  <c r="N230" i="9" s="1"/>
  <c r="P229" i="9"/>
  <c r="N229" i="9"/>
  <c r="L229" i="9"/>
  <c r="J229" i="9"/>
  <c r="P228" i="9"/>
  <c r="N228" i="9"/>
  <c r="L228" i="9"/>
  <c r="J228" i="9"/>
  <c r="H228" i="9"/>
  <c r="P227" i="9"/>
  <c r="N227" i="9"/>
  <c r="L227" i="9"/>
  <c r="J227" i="9"/>
  <c r="N226" i="9"/>
  <c r="L226" i="9"/>
  <c r="P226" i="9" s="1"/>
  <c r="J226" i="9"/>
  <c r="P225" i="9"/>
  <c r="N225" i="9"/>
  <c r="L225" i="9"/>
  <c r="J225" i="9"/>
  <c r="H225" i="9"/>
  <c r="P224" i="9"/>
  <c r="N224" i="9"/>
  <c r="L224" i="9"/>
  <c r="J224" i="9"/>
  <c r="P223" i="9"/>
  <c r="N223" i="9"/>
  <c r="L223" i="9"/>
  <c r="J223" i="9"/>
  <c r="P222" i="9"/>
  <c r="L222" i="9"/>
  <c r="J222" i="9"/>
  <c r="N222" i="9" s="1"/>
  <c r="H222" i="9"/>
  <c r="P221" i="9"/>
  <c r="N221" i="9"/>
  <c r="L221" i="9"/>
  <c r="J221" i="9"/>
  <c r="N220" i="9"/>
  <c r="L220" i="9"/>
  <c r="P220" i="9" s="1"/>
  <c r="J220" i="9"/>
  <c r="P219" i="9"/>
  <c r="N219" i="9"/>
  <c r="L219" i="9"/>
  <c r="J219" i="9"/>
  <c r="H219" i="9"/>
  <c r="P218" i="9"/>
  <c r="L218" i="9"/>
  <c r="J218" i="9"/>
  <c r="N218" i="9" s="1"/>
  <c r="P217" i="9"/>
  <c r="N217" i="9"/>
  <c r="L217" i="9"/>
  <c r="J217" i="9"/>
  <c r="P216" i="9"/>
  <c r="N216" i="9"/>
  <c r="L216" i="9"/>
  <c r="J216" i="9"/>
  <c r="H216" i="9"/>
  <c r="P215" i="9"/>
  <c r="N215" i="9"/>
  <c r="L215" i="9"/>
  <c r="J215" i="9"/>
  <c r="P214" i="9"/>
  <c r="N214" i="9"/>
  <c r="L214" i="9"/>
  <c r="J214" i="9"/>
  <c r="P213" i="9"/>
  <c r="N213" i="9"/>
  <c r="L213" i="9"/>
  <c r="J213" i="9"/>
  <c r="P210" i="9"/>
  <c r="N210" i="9"/>
  <c r="L210" i="9"/>
  <c r="J210" i="9"/>
  <c r="N209" i="9"/>
  <c r="L209" i="9"/>
  <c r="P209" i="9" s="1"/>
  <c r="J209" i="9"/>
  <c r="P208" i="9"/>
  <c r="N208" i="9"/>
  <c r="L208" i="9"/>
  <c r="J208" i="9"/>
  <c r="H208" i="9"/>
  <c r="P207" i="9"/>
  <c r="N207" i="9"/>
  <c r="L207" i="9"/>
  <c r="J207" i="9"/>
  <c r="P206" i="9"/>
  <c r="N206" i="9"/>
  <c r="L206" i="9"/>
  <c r="J206" i="9"/>
  <c r="P205" i="9"/>
  <c r="L205" i="9"/>
  <c r="J205" i="9"/>
  <c r="K205" i="9" s="1"/>
  <c r="H205" i="9"/>
  <c r="P204" i="9"/>
  <c r="N204" i="9"/>
  <c r="L204" i="9"/>
  <c r="J204" i="9"/>
  <c r="N203" i="9"/>
  <c r="L203" i="9"/>
  <c r="P203" i="9" s="1"/>
  <c r="J203" i="9"/>
  <c r="P202" i="9"/>
  <c r="N202" i="9"/>
  <c r="L202" i="9"/>
  <c r="J202" i="9"/>
  <c r="H202" i="9"/>
  <c r="P201" i="9"/>
  <c r="L201" i="9"/>
  <c r="J201" i="9"/>
  <c r="N201" i="9" s="1"/>
  <c r="P200" i="9"/>
  <c r="N200" i="9"/>
  <c r="L200" i="9"/>
  <c r="J200" i="9"/>
  <c r="P199" i="9"/>
  <c r="N199" i="9"/>
  <c r="L199" i="9"/>
  <c r="J199" i="9"/>
  <c r="H199" i="9"/>
  <c r="P198" i="9"/>
  <c r="N198" i="9"/>
  <c r="L198" i="9"/>
  <c r="J198" i="9"/>
  <c r="N197" i="9"/>
  <c r="L197" i="9"/>
  <c r="P197" i="9" s="1"/>
  <c r="J197" i="9"/>
  <c r="P196" i="9"/>
  <c r="N196" i="9"/>
  <c r="L196" i="9"/>
  <c r="J196" i="9"/>
  <c r="H196" i="9"/>
  <c r="P195" i="9"/>
  <c r="N195" i="9"/>
  <c r="L195" i="9"/>
  <c r="J195" i="9"/>
  <c r="P194" i="9"/>
  <c r="N194" i="9"/>
  <c r="L194" i="9"/>
  <c r="J194" i="9"/>
  <c r="P193" i="9"/>
  <c r="L193" i="9"/>
  <c r="J193" i="9"/>
  <c r="N193" i="9" s="1"/>
  <c r="H193" i="9"/>
  <c r="P192" i="9"/>
  <c r="N192" i="9"/>
  <c r="L192" i="9"/>
  <c r="J192" i="9"/>
  <c r="N191" i="9"/>
  <c r="L191" i="9"/>
  <c r="P191" i="9" s="1"/>
  <c r="J191" i="9"/>
  <c r="P190" i="9"/>
  <c r="N190" i="9"/>
  <c r="L190" i="9"/>
  <c r="J190" i="9"/>
  <c r="H190" i="9"/>
  <c r="P189" i="9"/>
  <c r="L189" i="9"/>
  <c r="J189" i="9"/>
  <c r="N189" i="9" s="1"/>
  <c r="P188" i="9"/>
  <c r="N188" i="9"/>
  <c r="L188" i="9"/>
  <c r="J188" i="9"/>
  <c r="P187" i="9"/>
  <c r="N187" i="9"/>
  <c r="L187" i="9"/>
  <c r="J187" i="9"/>
  <c r="H187" i="9"/>
  <c r="P186" i="9"/>
  <c r="N186" i="9"/>
  <c r="L186" i="9"/>
  <c r="J186" i="9"/>
  <c r="N185" i="9"/>
  <c r="L185" i="9"/>
  <c r="P185" i="9" s="1"/>
  <c r="J185" i="9"/>
  <c r="P184" i="9"/>
  <c r="N184" i="9"/>
  <c r="L184" i="9"/>
  <c r="J184" i="9"/>
  <c r="H184" i="9"/>
  <c r="P183" i="9"/>
  <c r="N183" i="9"/>
  <c r="L183" i="9"/>
  <c r="J183" i="9"/>
  <c r="P182" i="9"/>
  <c r="N182" i="9"/>
  <c r="L182" i="9"/>
  <c r="J182" i="9"/>
  <c r="P181" i="9"/>
  <c r="L181" i="9"/>
  <c r="J181" i="9"/>
  <c r="H181" i="9"/>
  <c r="P180" i="9"/>
  <c r="N180" i="9"/>
  <c r="L180" i="9"/>
  <c r="J180" i="9"/>
  <c r="N179" i="9"/>
  <c r="L179" i="9"/>
  <c r="P179" i="9" s="1"/>
  <c r="J179" i="9"/>
  <c r="P178" i="9"/>
  <c r="N178" i="9"/>
  <c r="L178" i="9"/>
  <c r="J178" i="9"/>
  <c r="H178" i="9"/>
  <c r="P177" i="9"/>
  <c r="L177" i="9"/>
  <c r="J177" i="9"/>
  <c r="N177" i="9" s="1"/>
  <c r="P176" i="9"/>
  <c r="N176" i="9"/>
  <c r="L176" i="9"/>
  <c r="J176" i="9"/>
  <c r="P175" i="9"/>
  <c r="N175" i="9"/>
  <c r="L175" i="9"/>
  <c r="J175" i="9"/>
  <c r="H175" i="9"/>
  <c r="P174" i="9"/>
  <c r="N174" i="9"/>
  <c r="L174" i="9"/>
  <c r="J174" i="9"/>
  <c r="N173" i="9"/>
  <c r="L173" i="9"/>
  <c r="P173" i="9" s="1"/>
  <c r="J173" i="9"/>
  <c r="P172" i="9"/>
  <c r="N172" i="9"/>
  <c r="L172" i="9"/>
  <c r="J172" i="9"/>
  <c r="H172" i="9"/>
  <c r="P171" i="9"/>
  <c r="N171" i="9"/>
  <c r="L171" i="9"/>
  <c r="J171" i="9"/>
  <c r="P170" i="9"/>
  <c r="N170" i="9"/>
  <c r="L170" i="9"/>
  <c r="J170" i="9"/>
  <c r="P169" i="9"/>
  <c r="L169" i="9"/>
  <c r="J169" i="9"/>
  <c r="N169" i="9" s="1"/>
  <c r="H169" i="9"/>
  <c r="P168" i="9"/>
  <c r="N168" i="9"/>
  <c r="L168" i="9"/>
  <c r="J168" i="9"/>
  <c r="N167" i="9"/>
  <c r="L167" i="9"/>
  <c r="P167" i="9" s="1"/>
  <c r="J167" i="9"/>
  <c r="P166" i="9"/>
  <c r="N166" i="9"/>
  <c r="L166" i="9"/>
  <c r="J166" i="9"/>
  <c r="H166" i="9"/>
  <c r="P165" i="9"/>
  <c r="L165" i="9"/>
  <c r="J165" i="9"/>
  <c r="N165" i="9" s="1"/>
  <c r="P164" i="9"/>
  <c r="N164" i="9"/>
  <c r="L164" i="9"/>
  <c r="J164" i="9"/>
  <c r="P163" i="9"/>
  <c r="N163" i="9"/>
  <c r="L163" i="9"/>
  <c r="J163" i="9"/>
  <c r="H163" i="9"/>
  <c r="P162" i="9"/>
  <c r="N162" i="9"/>
  <c r="L162" i="9"/>
  <c r="J162" i="9"/>
  <c r="P161" i="9"/>
  <c r="N161" i="9"/>
  <c r="L161" i="9"/>
  <c r="J161" i="9"/>
  <c r="P160" i="9"/>
  <c r="N160" i="9"/>
  <c r="L160" i="9"/>
  <c r="J160" i="9"/>
  <c r="K160" i="9" s="1"/>
  <c r="P157" i="9"/>
  <c r="N157" i="9"/>
  <c r="L157" i="9"/>
  <c r="J157" i="9"/>
  <c r="N156" i="9"/>
  <c r="L156" i="9"/>
  <c r="P156" i="9" s="1"/>
  <c r="J156" i="9"/>
  <c r="P155" i="9"/>
  <c r="N155" i="9"/>
  <c r="L155" i="9"/>
  <c r="J155" i="9"/>
  <c r="H155" i="9"/>
  <c r="P154" i="9"/>
  <c r="N154" i="9"/>
  <c r="L154" i="9"/>
  <c r="J154" i="9"/>
  <c r="P153" i="9"/>
  <c r="N153" i="9"/>
  <c r="L153" i="9"/>
  <c r="J153" i="9"/>
  <c r="P152" i="9"/>
  <c r="L152" i="9"/>
  <c r="J152" i="9"/>
  <c r="N152" i="9" s="1"/>
  <c r="H152" i="9"/>
  <c r="P151" i="9"/>
  <c r="N151" i="9"/>
  <c r="L151" i="9"/>
  <c r="J151" i="9"/>
  <c r="N150" i="9"/>
  <c r="L150" i="9"/>
  <c r="P150" i="9" s="1"/>
  <c r="J150" i="9"/>
  <c r="P149" i="9"/>
  <c r="N149" i="9"/>
  <c r="L149" i="9"/>
  <c r="J149" i="9"/>
  <c r="H149" i="9"/>
  <c r="P148" i="9"/>
  <c r="L148" i="9"/>
  <c r="J148" i="9"/>
  <c r="N148" i="9" s="1"/>
  <c r="P147" i="9"/>
  <c r="N147" i="9"/>
  <c r="L147" i="9"/>
  <c r="J147" i="9"/>
  <c r="P146" i="9"/>
  <c r="N146" i="9"/>
  <c r="L146" i="9"/>
  <c r="J146" i="9"/>
  <c r="H146" i="9"/>
  <c r="P145" i="9"/>
  <c r="N145" i="9"/>
  <c r="L145" i="9"/>
  <c r="J145" i="9"/>
  <c r="N144" i="9"/>
  <c r="L144" i="9"/>
  <c r="P144" i="9" s="1"/>
  <c r="J144" i="9"/>
  <c r="P143" i="9"/>
  <c r="N143" i="9"/>
  <c r="L143" i="9"/>
  <c r="J143" i="9"/>
  <c r="H143" i="9"/>
  <c r="P142" i="9"/>
  <c r="N142" i="9"/>
  <c r="L142" i="9"/>
  <c r="J142" i="9"/>
  <c r="P141" i="9"/>
  <c r="N141" i="9"/>
  <c r="L141" i="9"/>
  <c r="J141" i="9"/>
  <c r="P140" i="9"/>
  <c r="L140" i="9"/>
  <c r="J140" i="9"/>
  <c r="N140" i="9" s="1"/>
  <c r="H140" i="9"/>
  <c r="P139" i="9"/>
  <c r="N139" i="9"/>
  <c r="L139" i="9"/>
  <c r="J139" i="9"/>
  <c r="N138" i="9"/>
  <c r="L138" i="9"/>
  <c r="P138" i="9" s="1"/>
  <c r="J138" i="9"/>
  <c r="P137" i="9"/>
  <c r="N137" i="9"/>
  <c r="L137" i="9"/>
  <c r="J137" i="9"/>
  <c r="H137" i="9"/>
  <c r="P136" i="9"/>
  <c r="L136" i="9"/>
  <c r="J136" i="9"/>
  <c r="N136" i="9" s="1"/>
  <c r="P135" i="9"/>
  <c r="N135" i="9"/>
  <c r="L135" i="9"/>
  <c r="J135" i="9"/>
  <c r="P134" i="9"/>
  <c r="N134" i="9"/>
  <c r="L134" i="9"/>
  <c r="J134" i="9"/>
  <c r="H134" i="9"/>
  <c r="P133" i="9"/>
  <c r="N133" i="9"/>
  <c r="L133" i="9"/>
  <c r="J133" i="9"/>
  <c r="N132" i="9"/>
  <c r="L132" i="9"/>
  <c r="P132" i="9" s="1"/>
  <c r="J132" i="9"/>
  <c r="P131" i="9"/>
  <c r="N131" i="9"/>
  <c r="L131" i="9"/>
  <c r="J131" i="9"/>
  <c r="H131" i="9"/>
  <c r="P130" i="9"/>
  <c r="N130" i="9"/>
  <c r="L130" i="9"/>
  <c r="J130" i="9"/>
  <c r="P129" i="9"/>
  <c r="N129" i="9"/>
  <c r="L129" i="9"/>
  <c r="J129" i="9"/>
  <c r="P128" i="9"/>
  <c r="L128" i="9"/>
  <c r="J128" i="9"/>
  <c r="N128" i="9" s="1"/>
  <c r="H128" i="9"/>
  <c r="P127" i="9"/>
  <c r="N127" i="9"/>
  <c r="L127" i="9"/>
  <c r="J127" i="9"/>
  <c r="N126" i="9"/>
  <c r="L126" i="9"/>
  <c r="P126" i="9" s="1"/>
  <c r="J126" i="9"/>
  <c r="P125" i="9"/>
  <c r="N125" i="9"/>
  <c r="L125" i="9"/>
  <c r="J125" i="9"/>
  <c r="H125" i="9"/>
  <c r="P124" i="9"/>
  <c r="L124" i="9"/>
  <c r="J124" i="9"/>
  <c r="N124" i="9" s="1"/>
  <c r="P123" i="9"/>
  <c r="N123" i="9"/>
  <c r="L123" i="9"/>
  <c r="J123" i="9"/>
  <c r="P122" i="9"/>
  <c r="N122" i="9"/>
  <c r="L122" i="9"/>
  <c r="J122" i="9"/>
  <c r="H122" i="9"/>
  <c r="P121" i="9"/>
  <c r="N121" i="9"/>
  <c r="L121" i="9"/>
  <c r="J121" i="9"/>
  <c r="N120" i="9"/>
  <c r="L120" i="9"/>
  <c r="P120" i="9" s="1"/>
  <c r="J120" i="9"/>
  <c r="P119" i="9"/>
  <c r="N119" i="9"/>
  <c r="L119" i="9"/>
  <c r="J119" i="9"/>
  <c r="H119" i="9"/>
  <c r="P118" i="9"/>
  <c r="N118" i="9"/>
  <c r="L118" i="9"/>
  <c r="J118" i="9"/>
  <c r="P117" i="9"/>
  <c r="N117" i="9"/>
  <c r="L117" i="9"/>
  <c r="J117" i="9"/>
  <c r="P116" i="9"/>
  <c r="L116" i="9"/>
  <c r="J116" i="9"/>
  <c r="N116" i="9" s="1"/>
  <c r="H116" i="9"/>
  <c r="P115" i="9"/>
  <c r="N115" i="9"/>
  <c r="L115" i="9"/>
  <c r="J115" i="9"/>
  <c r="N114" i="9"/>
  <c r="L114" i="9"/>
  <c r="P114" i="9" s="1"/>
  <c r="J114" i="9"/>
  <c r="P113" i="9"/>
  <c r="N113" i="9"/>
  <c r="L113" i="9"/>
  <c r="J113" i="9"/>
  <c r="H113" i="9"/>
  <c r="P112" i="9"/>
  <c r="L112" i="9"/>
  <c r="J112" i="9"/>
  <c r="N112" i="9" s="1"/>
  <c r="P111" i="9"/>
  <c r="N111" i="9"/>
  <c r="L111" i="9"/>
  <c r="J111" i="9"/>
  <c r="P110" i="9"/>
  <c r="N110" i="9"/>
  <c r="L110" i="9"/>
  <c r="J110" i="9"/>
  <c r="H110" i="9"/>
  <c r="P109" i="9"/>
  <c r="N109" i="9"/>
  <c r="L109" i="9"/>
  <c r="J109" i="9"/>
  <c r="P108" i="9"/>
  <c r="N108" i="9"/>
  <c r="L108" i="9"/>
  <c r="J108" i="9"/>
  <c r="P107" i="9"/>
  <c r="N107" i="9"/>
  <c r="L107" i="9"/>
  <c r="J107" i="9"/>
  <c r="P103" i="9"/>
  <c r="N103" i="9"/>
  <c r="G103" i="9"/>
  <c r="L103" i="9" s="1"/>
  <c r="F103" i="9"/>
  <c r="J103" i="9" s="1"/>
  <c r="P102" i="9"/>
  <c r="N102" i="9"/>
  <c r="G102" i="9"/>
  <c r="L102" i="9" s="1"/>
  <c r="F102" i="9"/>
  <c r="J102" i="9" s="1"/>
  <c r="P101" i="9"/>
  <c r="G101" i="9"/>
  <c r="L101" i="9" s="1"/>
  <c r="F101" i="9"/>
  <c r="J101" i="9" s="1"/>
  <c r="P100" i="9"/>
  <c r="G100" i="9"/>
  <c r="L100" i="9" s="1"/>
  <c r="F100" i="9"/>
  <c r="J100" i="9" s="1"/>
  <c r="N100" i="9" s="1"/>
  <c r="P99" i="9"/>
  <c r="N99" i="9"/>
  <c r="G99" i="9"/>
  <c r="L99" i="9" s="1"/>
  <c r="F99" i="9"/>
  <c r="J99" i="9" s="1"/>
  <c r="P98" i="9"/>
  <c r="N98" i="9"/>
  <c r="G98" i="9"/>
  <c r="L98" i="9" s="1"/>
  <c r="F98" i="9"/>
  <c r="J98" i="9" s="1"/>
  <c r="P97" i="9"/>
  <c r="N97" i="9"/>
  <c r="G97" i="9"/>
  <c r="L97" i="9" s="1"/>
  <c r="F97" i="9"/>
  <c r="J97" i="9" s="1"/>
  <c r="P96" i="9"/>
  <c r="N96" i="9"/>
  <c r="G96" i="9"/>
  <c r="L96" i="9" s="1"/>
  <c r="F96" i="9"/>
  <c r="J96" i="9" s="1"/>
  <c r="P95" i="9"/>
  <c r="G95" i="9"/>
  <c r="L95" i="9" s="1"/>
  <c r="F95" i="9"/>
  <c r="P94" i="9"/>
  <c r="G94" i="9"/>
  <c r="L94" i="9" s="1"/>
  <c r="F94" i="9"/>
  <c r="J94" i="9" s="1"/>
  <c r="N94" i="9" s="1"/>
  <c r="P93" i="9"/>
  <c r="N93" i="9"/>
  <c r="G93" i="9"/>
  <c r="L93" i="9" s="1"/>
  <c r="F93" i="9"/>
  <c r="J93" i="9" s="1"/>
  <c r="P92" i="9"/>
  <c r="N92" i="9"/>
  <c r="G92" i="9"/>
  <c r="L92" i="9" s="1"/>
  <c r="F92" i="9"/>
  <c r="J92" i="9" s="1"/>
  <c r="P91" i="9"/>
  <c r="N91" i="9"/>
  <c r="G91" i="9"/>
  <c r="L91" i="9" s="1"/>
  <c r="F91" i="9"/>
  <c r="J91" i="9" s="1"/>
  <c r="P90" i="9"/>
  <c r="N90" i="9"/>
  <c r="G90" i="9"/>
  <c r="L90" i="9" s="1"/>
  <c r="F90" i="9"/>
  <c r="J90" i="9" s="1"/>
  <c r="P89" i="9"/>
  <c r="N89" i="9"/>
  <c r="G89" i="9"/>
  <c r="L89" i="9" s="1"/>
  <c r="J89" i="9"/>
  <c r="P86" i="9"/>
  <c r="N86" i="9"/>
  <c r="L86" i="9"/>
  <c r="J86" i="9"/>
  <c r="P85" i="9"/>
  <c r="N85" i="9"/>
  <c r="L85" i="9"/>
  <c r="J85" i="9"/>
  <c r="P84" i="9"/>
  <c r="L84" i="9"/>
  <c r="J84" i="9"/>
  <c r="N84" i="9" s="1"/>
  <c r="H84" i="9"/>
  <c r="P83" i="9"/>
  <c r="L83" i="9"/>
  <c r="J83" i="9"/>
  <c r="N83" i="9" s="1"/>
  <c r="P82" i="9"/>
  <c r="N82" i="9"/>
  <c r="L82" i="9"/>
  <c r="J82" i="9"/>
  <c r="P81" i="9"/>
  <c r="N81" i="9"/>
  <c r="L81" i="9"/>
  <c r="J81" i="9"/>
  <c r="H81" i="9"/>
  <c r="P80" i="9"/>
  <c r="N80" i="9"/>
  <c r="L80" i="9"/>
  <c r="J80" i="9"/>
  <c r="P79" i="9"/>
  <c r="N79" i="9"/>
  <c r="L79" i="9"/>
  <c r="J79" i="9"/>
  <c r="P78" i="9"/>
  <c r="L78" i="9"/>
  <c r="J78" i="9"/>
  <c r="N78" i="9" s="1"/>
  <c r="H78" i="9"/>
  <c r="P77" i="9"/>
  <c r="L77" i="9"/>
  <c r="J77" i="9"/>
  <c r="N77" i="9" s="1"/>
  <c r="P76" i="9"/>
  <c r="N76" i="9"/>
  <c r="L76" i="9"/>
  <c r="J76" i="9"/>
  <c r="P75" i="9"/>
  <c r="N75" i="9"/>
  <c r="L75" i="9"/>
  <c r="J75" i="9"/>
  <c r="H75" i="9"/>
  <c r="P74" i="9"/>
  <c r="N74" i="9"/>
  <c r="L74" i="9"/>
  <c r="J74" i="9"/>
  <c r="P73" i="9"/>
  <c r="N73" i="9"/>
  <c r="L73" i="9"/>
  <c r="J73" i="9"/>
  <c r="P72" i="9"/>
  <c r="N72" i="9"/>
  <c r="L72" i="9"/>
  <c r="J72" i="9"/>
  <c r="P69" i="9"/>
  <c r="N69" i="9"/>
  <c r="L69" i="9"/>
  <c r="J69" i="9"/>
  <c r="P68" i="9"/>
  <c r="N68" i="9"/>
  <c r="L68" i="9"/>
  <c r="J68" i="9"/>
  <c r="P67" i="9"/>
  <c r="L67" i="9"/>
  <c r="J67" i="9"/>
  <c r="H67" i="9"/>
  <c r="P66" i="9"/>
  <c r="L66" i="9"/>
  <c r="J66" i="9"/>
  <c r="N66" i="9" s="1"/>
  <c r="P65" i="9"/>
  <c r="N65" i="9"/>
  <c r="L65" i="9"/>
  <c r="J65" i="9"/>
  <c r="P64" i="9"/>
  <c r="N64" i="9"/>
  <c r="L64" i="9"/>
  <c r="J64" i="9"/>
  <c r="K64" i="9" s="1"/>
  <c r="H64" i="9"/>
  <c r="P63" i="9"/>
  <c r="N63" i="9"/>
  <c r="L63" i="9"/>
  <c r="J63" i="9"/>
  <c r="P62" i="9"/>
  <c r="N62" i="9"/>
  <c r="L62" i="9"/>
  <c r="J62" i="9"/>
  <c r="P61" i="9"/>
  <c r="L61" i="9"/>
  <c r="J61" i="9"/>
  <c r="N61" i="9" s="1"/>
  <c r="H61" i="9"/>
  <c r="P60" i="9"/>
  <c r="L60" i="9"/>
  <c r="J60" i="9"/>
  <c r="N60" i="9" s="1"/>
  <c r="P59" i="9"/>
  <c r="N59" i="9"/>
  <c r="L59" i="9"/>
  <c r="J59" i="9"/>
  <c r="P58" i="9"/>
  <c r="N58" i="9"/>
  <c r="L58" i="9"/>
  <c r="J58" i="9"/>
  <c r="H58" i="9"/>
  <c r="P57" i="9"/>
  <c r="N57" i="9"/>
  <c r="L57" i="9"/>
  <c r="J57" i="9"/>
  <c r="P56" i="9"/>
  <c r="N56" i="9"/>
  <c r="L56" i="9"/>
  <c r="J56" i="9"/>
  <c r="P55" i="9"/>
  <c r="N55" i="9"/>
  <c r="L55" i="9"/>
  <c r="J55" i="9"/>
  <c r="P52" i="9"/>
  <c r="N52" i="9"/>
  <c r="L52" i="9"/>
  <c r="J52" i="9"/>
  <c r="P51" i="9"/>
  <c r="N51" i="9"/>
  <c r="L51" i="9"/>
  <c r="J51" i="9"/>
  <c r="P50" i="9"/>
  <c r="L50" i="9"/>
  <c r="J50" i="9"/>
  <c r="N50" i="9" s="1"/>
  <c r="H50" i="9"/>
  <c r="P49" i="9"/>
  <c r="L49" i="9"/>
  <c r="J49" i="9"/>
  <c r="N49" i="9" s="1"/>
  <c r="P48" i="9"/>
  <c r="N48" i="9"/>
  <c r="L48" i="9"/>
  <c r="J48" i="9"/>
  <c r="P47" i="9"/>
  <c r="N47" i="9"/>
  <c r="L47" i="9"/>
  <c r="J47" i="9"/>
  <c r="K47" i="9" s="1"/>
  <c r="H47" i="9"/>
  <c r="P46" i="9"/>
  <c r="N46" i="9"/>
  <c r="L46" i="9"/>
  <c r="J46" i="9"/>
  <c r="P45" i="9"/>
  <c r="N45" i="9"/>
  <c r="L45" i="9"/>
  <c r="J45" i="9"/>
  <c r="P44" i="9"/>
  <c r="L44" i="9"/>
  <c r="J44" i="9"/>
  <c r="N44" i="9" s="1"/>
  <c r="H44" i="9"/>
  <c r="P43" i="9"/>
  <c r="L43" i="9"/>
  <c r="J43" i="9"/>
  <c r="N43" i="9" s="1"/>
  <c r="P42" i="9"/>
  <c r="N42" i="9"/>
  <c r="L42" i="9"/>
  <c r="J42" i="9"/>
  <c r="P41" i="9"/>
  <c r="N41" i="9"/>
  <c r="L41" i="9"/>
  <c r="J41" i="9"/>
  <c r="H41" i="9"/>
  <c r="P40" i="9"/>
  <c r="N40" i="9"/>
  <c r="L40" i="9"/>
  <c r="J40" i="9"/>
  <c r="P39" i="9"/>
  <c r="N39" i="9"/>
  <c r="L39" i="9"/>
  <c r="J39" i="9"/>
  <c r="P38" i="9"/>
  <c r="N38" i="9"/>
  <c r="L38" i="9"/>
  <c r="J38" i="9"/>
  <c r="K38" i="9" s="1"/>
  <c r="P33" i="9"/>
  <c r="N33" i="9"/>
  <c r="L33" i="9"/>
  <c r="J33" i="9"/>
  <c r="P32" i="9"/>
  <c r="N32" i="9"/>
  <c r="L32" i="9"/>
  <c r="J32" i="9"/>
  <c r="N31" i="9"/>
  <c r="L31" i="9"/>
  <c r="P31" i="9" s="1"/>
  <c r="J31" i="9"/>
  <c r="H31" i="9"/>
  <c r="N30" i="9"/>
  <c r="L30" i="9"/>
  <c r="P30" i="9" s="1"/>
  <c r="J30" i="9"/>
  <c r="P29" i="9"/>
  <c r="N29" i="9"/>
  <c r="L29" i="9"/>
  <c r="J29" i="9"/>
  <c r="P28" i="9"/>
  <c r="N28" i="9"/>
  <c r="L28" i="9"/>
  <c r="J28" i="9"/>
  <c r="H28" i="9"/>
  <c r="P27" i="9"/>
  <c r="N27" i="9"/>
  <c r="L27" i="9"/>
  <c r="J27" i="9"/>
  <c r="N26" i="9"/>
  <c r="L26" i="9"/>
  <c r="P26" i="9" s="1"/>
  <c r="J26" i="9"/>
  <c r="P25" i="9"/>
  <c r="N25" i="9"/>
  <c r="L25" i="9"/>
  <c r="J25" i="9"/>
  <c r="H25" i="9"/>
  <c r="P24" i="9"/>
  <c r="N24" i="9"/>
  <c r="L24" i="9"/>
  <c r="J24" i="9"/>
  <c r="N23" i="9"/>
  <c r="L23" i="9"/>
  <c r="P23" i="9" s="1"/>
  <c r="J23" i="9"/>
  <c r="P22" i="9"/>
  <c r="N22" i="9"/>
  <c r="L22" i="9"/>
  <c r="J22" i="9"/>
  <c r="H22" i="9"/>
  <c r="N21" i="9"/>
  <c r="L21" i="9"/>
  <c r="P21" i="9" s="1"/>
  <c r="J21" i="9"/>
  <c r="P20" i="9"/>
  <c r="N20" i="9"/>
  <c r="L20" i="9"/>
  <c r="J20" i="9"/>
  <c r="P19" i="9"/>
  <c r="N19" i="9"/>
  <c r="L19" i="9"/>
  <c r="J19" i="9"/>
  <c r="K19" i="9" s="1"/>
  <c r="H19" i="9"/>
  <c r="P18" i="9"/>
  <c r="N18" i="9"/>
  <c r="L18" i="9"/>
  <c r="J18" i="9"/>
  <c r="P17" i="9"/>
  <c r="N17" i="9"/>
  <c r="L17" i="9"/>
  <c r="J17" i="9"/>
  <c r="N16" i="9"/>
  <c r="L16" i="9"/>
  <c r="P16" i="9" s="1"/>
  <c r="J16" i="9"/>
  <c r="H16" i="9"/>
  <c r="P15" i="9"/>
  <c r="N15" i="9"/>
  <c r="L15" i="9"/>
  <c r="J15" i="9"/>
  <c r="P14" i="9"/>
  <c r="N14" i="9"/>
  <c r="L14" i="9"/>
  <c r="J14" i="9"/>
  <c r="P13" i="9"/>
  <c r="N13" i="9"/>
  <c r="L13" i="9"/>
  <c r="J13" i="9"/>
  <c r="K89" i="9" l="1"/>
  <c r="K216" i="9"/>
  <c r="K199" i="9"/>
  <c r="K28" i="9"/>
  <c r="K25" i="9"/>
  <c r="K72" i="9"/>
  <c r="K255" i="9"/>
  <c r="K58" i="9"/>
  <c r="K240" i="9"/>
  <c r="K252" i="9"/>
  <c r="K55" i="9"/>
  <c r="K237" i="9"/>
  <c r="K131" i="9"/>
  <c r="K175" i="9"/>
  <c r="K234" i="9"/>
  <c r="K213" i="9"/>
  <c r="K225" i="9"/>
  <c r="K219" i="9"/>
  <c r="K184" i="9"/>
  <c r="K208" i="9"/>
  <c r="K178" i="9"/>
  <c r="K143" i="9"/>
  <c r="K113" i="9"/>
  <c r="K137" i="9"/>
  <c r="K107" i="9"/>
  <c r="K122" i="9"/>
  <c r="K146" i="9"/>
  <c r="K75" i="9"/>
  <c r="K67" i="9"/>
  <c r="H98" i="9"/>
  <c r="N258" i="9"/>
  <c r="K246" i="9"/>
  <c r="K261" i="9"/>
  <c r="K314" i="9"/>
  <c r="K228" i="9"/>
  <c r="K249" i="9"/>
  <c r="K243" i="9"/>
  <c r="K305" i="9"/>
  <c r="K163" i="9"/>
  <c r="K172" i="9"/>
  <c r="K155" i="9"/>
  <c r="K125" i="9"/>
  <c r="K119" i="9"/>
  <c r="K128" i="9"/>
  <c r="K193" i="9"/>
  <c r="H284" i="9"/>
  <c r="K196" i="9"/>
  <c r="K110" i="9"/>
  <c r="K190" i="9"/>
  <c r="K166" i="9"/>
  <c r="K296" i="9"/>
  <c r="H293" i="9"/>
  <c r="N205" i="9"/>
  <c r="H269" i="9"/>
  <c r="K266" i="9"/>
  <c r="K284" i="9"/>
  <c r="J269" i="9"/>
  <c r="K269" i="9" s="1"/>
  <c r="H302" i="9"/>
  <c r="H299" i="9"/>
  <c r="K278" i="9"/>
  <c r="K187" i="9"/>
  <c r="H311" i="9"/>
  <c r="K202" i="9"/>
  <c r="H308" i="9"/>
  <c r="J308" i="9"/>
  <c r="K308" i="9" s="1"/>
  <c r="H275" i="9"/>
  <c r="K134" i="9"/>
  <c r="K149" i="9"/>
  <c r="K181" i="9"/>
  <c r="J272" i="9"/>
  <c r="K272" i="9" s="1"/>
  <c r="K81" i="9"/>
  <c r="K98" i="9"/>
  <c r="K92" i="9"/>
  <c r="K41" i="9"/>
  <c r="K31" i="9"/>
  <c r="K13" i="9"/>
  <c r="K16" i="9"/>
  <c r="K22" i="9"/>
  <c r="N311" i="9"/>
  <c r="K311" i="9"/>
  <c r="K275" i="9"/>
  <c r="N275" i="9"/>
  <c r="K293" i="9"/>
  <c r="N101" i="9"/>
  <c r="K101" i="9"/>
  <c r="N287" i="9"/>
  <c r="K287" i="9"/>
  <c r="K302" i="9"/>
  <c r="K152" i="9"/>
  <c r="H290" i="9"/>
  <c r="J299" i="9"/>
  <c r="J95" i="9"/>
  <c r="H281" i="9"/>
  <c r="J290" i="9"/>
  <c r="K290" i="9" s="1"/>
  <c r="H272" i="9"/>
  <c r="J281" i="9"/>
  <c r="K281" i="9" s="1"/>
  <c r="H95" i="9"/>
  <c r="K61" i="9"/>
  <c r="K140" i="9"/>
  <c r="N181" i="9"/>
  <c r="K222" i="9"/>
  <c r="K84" i="9"/>
  <c r="H314" i="9"/>
  <c r="K169" i="9"/>
  <c r="H305" i="9"/>
  <c r="N67" i="9"/>
  <c r="K78" i="9"/>
  <c r="H101" i="9"/>
  <c r="H296" i="9"/>
  <c r="H92" i="9"/>
  <c r="K116" i="9"/>
  <c r="H287" i="9"/>
  <c r="H278" i="9"/>
  <c r="K50" i="9"/>
  <c r="K44" i="9"/>
  <c r="N95" i="9" l="1"/>
  <c r="K95" i="9"/>
  <c r="N299" i="9"/>
  <c r="K299" i="9"/>
  <c r="B4" i="6"/>
  <c r="B3" i="6"/>
  <c r="G303" i="5" l="1"/>
  <c r="L303" i="5" s="1"/>
  <c r="P303" i="5" s="1"/>
  <c r="G282" i="5"/>
  <c r="G279" i="5"/>
  <c r="G269" i="5"/>
  <c r="G270" i="5"/>
  <c r="G271" i="5"/>
  <c r="G272" i="5"/>
  <c r="G273" i="5"/>
  <c r="G274" i="5"/>
  <c r="G275" i="5"/>
  <c r="G276" i="5"/>
  <c r="G277" i="5"/>
  <c r="L277" i="5" s="1"/>
  <c r="G278" i="5"/>
  <c r="L278" i="5" s="1"/>
  <c r="G280" i="5"/>
  <c r="L280" i="5" s="1"/>
  <c r="G281" i="5"/>
  <c r="G283" i="5"/>
  <c r="G284" i="5"/>
  <c r="G285" i="5"/>
  <c r="G286" i="5"/>
  <c r="G287" i="5"/>
  <c r="G288" i="5"/>
  <c r="G289" i="5"/>
  <c r="G290" i="5"/>
  <c r="G291" i="5"/>
  <c r="G292" i="5"/>
  <c r="L292" i="5" s="1"/>
  <c r="G293" i="5"/>
  <c r="G294" i="5"/>
  <c r="G295" i="5"/>
  <c r="L295" i="5" s="1"/>
  <c r="G296" i="5"/>
  <c r="L296" i="5" s="1"/>
  <c r="G297" i="5"/>
  <c r="L297" i="5" s="1"/>
  <c r="P297" i="5" s="1"/>
  <c r="G298" i="5"/>
  <c r="G299" i="5"/>
  <c r="L299" i="5" s="1"/>
  <c r="G300" i="5"/>
  <c r="L300" i="5" s="1"/>
  <c r="G301" i="5"/>
  <c r="L301" i="5" s="1"/>
  <c r="G302" i="5"/>
  <c r="L302" i="5" s="1"/>
  <c r="G304" i="5"/>
  <c r="L304" i="5" s="1"/>
  <c r="G305" i="5"/>
  <c r="G306" i="5"/>
  <c r="G307" i="5"/>
  <c r="L307" i="5" s="1"/>
  <c r="G308" i="5"/>
  <c r="L308" i="5" s="1"/>
  <c r="G309" i="5"/>
  <c r="L309" i="5" s="1"/>
  <c r="P309" i="5" s="1"/>
  <c r="G310" i="5"/>
  <c r="L310" i="5" s="1"/>
  <c r="G311" i="5"/>
  <c r="L311" i="5" s="1"/>
  <c r="G312" i="5"/>
  <c r="L312" i="5" s="1"/>
  <c r="G313" i="5"/>
  <c r="L313" i="5" s="1"/>
  <c r="G314" i="5"/>
  <c r="L314" i="5" s="1"/>
  <c r="G315" i="5"/>
  <c r="L315" i="5" s="1"/>
  <c r="P315" i="5" s="1"/>
  <c r="G316" i="5"/>
  <c r="L316" i="5" s="1"/>
  <c r="G267" i="5"/>
  <c r="G268" i="5"/>
  <c r="G266" i="5"/>
  <c r="G89" i="5"/>
  <c r="F269" i="5"/>
  <c r="F270" i="5"/>
  <c r="F271" i="5"/>
  <c r="F272" i="5"/>
  <c r="F273" i="5"/>
  <c r="J273" i="5" s="1"/>
  <c r="F274" i="5"/>
  <c r="F275" i="5"/>
  <c r="F276" i="5"/>
  <c r="F277" i="5"/>
  <c r="J277" i="5" s="1"/>
  <c r="F278" i="5"/>
  <c r="J278" i="5" s="1"/>
  <c r="F279" i="5"/>
  <c r="F280" i="5"/>
  <c r="F281" i="5"/>
  <c r="F282" i="5"/>
  <c r="F283" i="5"/>
  <c r="F284" i="5"/>
  <c r="F285" i="5"/>
  <c r="F286" i="5"/>
  <c r="F287" i="5"/>
  <c r="F288" i="5"/>
  <c r="F289" i="5"/>
  <c r="F290" i="5"/>
  <c r="F291" i="5"/>
  <c r="F292" i="5"/>
  <c r="F293" i="5"/>
  <c r="F294" i="5"/>
  <c r="J294" i="5" s="1"/>
  <c r="F295" i="5"/>
  <c r="F296" i="5"/>
  <c r="F297" i="5"/>
  <c r="J297" i="5" s="1"/>
  <c r="F298" i="5"/>
  <c r="J298" i="5" s="1"/>
  <c r="F299" i="5"/>
  <c r="F300" i="5"/>
  <c r="F301" i="5"/>
  <c r="J301" i="5" s="1"/>
  <c r="F302" i="5"/>
  <c r="F303" i="5"/>
  <c r="J303" i="5" s="1"/>
  <c r="F304" i="5"/>
  <c r="J304" i="5" s="1"/>
  <c r="F305" i="5"/>
  <c r="J305" i="5" s="1"/>
  <c r="F306" i="5"/>
  <c r="F307" i="5"/>
  <c r="J307" i="5" s="1"/>
  <c r="N307" i="5" s="1"/>
  <c r="F308" i="5"/>
  <c r="J308" i="5" s="1"/>
  <c r="F309" i="5"/>
  <c r="J309" i="5" s="1"/>
  <c r="F310" i="5"/>
  <c r="H308" i="5" s="1"/>
  <c r="F311" i="5"/>
  <c r="H314" i="5" s="1"/>
  <c r="F312" i="5"/>
  <c r="F313" i="5"/>
  <c r="J313" i="5" s="1"/>
  <c r="F314" i="5"/>
  <c r="J314" i="5" s="1"/>
  <c r="F315" i="5"/>
  <c r="J315" i="5" s="1"/>
  <c r="F316" i="5"/>
  <c r="J316" i="5" s="1"/>
  <c r="F267" i="5"/>
  <c r="F268" i="5"/>
  <c r="F266" i="5"/>
  <c r="P316" i="5"/>
  <c r="N316" i="5"/>
  <c r="N315" i="5"/>
  <c r="P314" i="5"/>
  <c r="O314" i="5"/>
  <c r="N314" i="5"/>
  <c r="P313" i="5"/>
  <c r="N313" i="5"/>
  <c r="P312" i="5"/>
  <c r="N312" i="5"/>
  <c r="P311" i="5"/>
  <c r="P310" i="5"/>
  <c r="N310" i="5"/>
  <c r="N309" i="5"/>
  <c r="P308" i="5"/>
  <c r="N308" i="5"/>
  <c r="P307" i="5"/>
  <c r="P306" i="5"/>
  <c r="N306" i="5"/>
  <c r="L306" i="5"/>
  <c r="J306" i="5"/>
  <c r="P305" i="5"/>
  <c r="N305" i="5"/>
  <c r="L305" i="5"/>
  <c r="P304" i="5"/>
  <c r="N304" i="5"/>
  <c r="N303" i="5"/>
  <c r="P302" i="5"/>
  <c r="N302" i="5"/>
  <c r="J302" i="5"/>
  <c r="P301" i="5"/>
  <c r="N301" i="5"/>
  <c r="P300" i="5"/>
  <c r="N300" i="5"/>
  <c r="P299" i="5"/>
  <c r="J299" i="5"/>
  <c r="N299" i="5" s="1"/>
  <c r="P298" i="5"/>
  <c r="N298" i="5"/>
  <c r="L298" i="5"/>
  <c r="N297" i="5"/>
  <c r="P296" i="5"/>
  <c r="N296" i="5"/>
  <c r="J296" i="5"/>
  <c r="P295" i="5"/>
  <c r="J295" i="5"/>
  <c r="N295" i="5" s="1"/>
  <c r="P294" i="5"/>
  <c r="N294" i="5"/>
  <c r="L294" i="5"/>
  <c r="P293" i="5"/>
  <c r="N293" i="5"/>
  <c r="P292" i="5"/>
  <c r="N292" i="5"/>
  <c r="N291" i="5"/>
  <c r="L291" i="5"/>
  <c r="P291" i="5" s="1"/>
  <c r="P290" i="5"/>
  <c r="N290" i="5"/>
  <c r="L290" i="5"/>
  <c r="P289" i="5"/>
  <c r="N289" i="5"/>
  <c r="L289" i="5"/>
  <c r="P288" i="5"/>
  <c r="N288" i="5"/>
  <c r="L288" i="5"/>
  <c r="P287" i="5"/>
  <c r="L287" i="5"/>
  <c r="J287" i="5"/>
  <c r="N287" i="5" s="1"/>
  <c r="P286" i="5"/>
  <c r="N286" i="5"/>
  <c r="L286" i="5"/>
  <c r="N285" i="5"/>
  <c r="L285" i="5"/>
  <c r="P285" i="5" s="1"/>
  <c r="P284" i="5"/>
  <c r="N284" i="5"/>
  <c r="P283" i="5"/>
  <c r="P282" i="5"/>
  <c r="N282" i="5"/>
  <c r="P281" i="5"/>
  <c r="N281" i="5"/>
  <c r="P280" i="5"/>
  <c r="N280" i="5"/>
  <c r="J280" i="5"/>
  <c r="N279" i="5"/>
  <c r="J279" i="5"/>
  <c r="P278" i="5"/>
  <c r="N278" i="5"/>
  <c r="P277" i="5"/>
  <c r="N277" i="5"/>
  <c r="P276" i="5"/>
  <c r="N276" i="5"/>
  <c r="L276" i="5"/>
  <c r="J276" i="5"/>
  <c r="P275" i="5"/>
  <c r="P274" i="5"/>
  <c r="N274" i="5"/>
  <c r="J274" i="5"/>
  <c r="N273" i="5"/>
  <c r="P272" i="5"/>
  <c r="N272" i="5"/>
  <c r="J272" i="5"/>
  <c r="P271" i="5"/>
  <c r="J271" i="5"/>
  <c r="N271" i="5" s="1"/>
  <c r="P270" i="5"/>
  <c r="N270" i="5"/>
  <c r="J270" i="5"/>
  <c r="P269" i="5"/>
  <c r="N269" i="5"/>
  <c r="L269" i="5"/>
  <c r="J269" i="5"/>
  <c r="H269" i="5"/>
  <c r="P268" i="5"/>
  <c r="N268" i="5"/>
  <c r="L268" i="5"/>
  <c r="J268" i="5"/>
  <c r="P267" i="5"/>
  <c r="N267" i="5"/>
  <c r="L267" i="5"/>
  <c r="P266" i="5"/>
  <c r="N266" i="5"/>
  <c r="L266" i="5"/>
  <c r="J231" i="5"/>
  <c r="P263" i="5"/>
  <c r="N263" i="5"/>
  <c r="L263" i="5"/>
  <c r="J263" i="5"/>
  <c r="N262" i="5"/>
  <c r="L262" i="5"/>
  <c r="P262" i="5" s="1"/>
  <c r="J262" i="5"/>
  <c r="P261" i="5"/>
  <c r="N261" i="5"/>
  <c r="L261" i="5"/>
  <c r="J261" i="5"/>
  <c r="H261" i="5"/>
  <c r="P260" i="5"/>
  <c r="N260" i="5"/>
  <c r="L260" i="5"/>
  <c r="J260" i="5"/>
  <c r="P259" i="5"/>
  <c r="N259" i="5"/>
  <c r="L259" i="5"/>
  <c r="J259" i="5"/>
  <c r="P258" i="5"/>
  <c r="L258" i="5"/>
  <c r="J258" i="5"/>
  <c r="N258" i="5" s="1"/>
  <c r="H258" i="5"/>
  <c r="P257" i="5"/>
  <c r="N257" i="5"/>
  <c r="L257" i="5"/>
  <c r="J257" i="5"/>
  <c r="N256" i="5"/>
  <c r="L256" i="5"/>
  <c r="P256" i="5" s="1"/>
  <c r="J256" i="5"/>
  <c r="P255" i="5"/>
  <c r="N255" i="5"/>
  <c r="L255" i="5"/>
  <c r="J255" i="5"/>
  <c r="H255" i="5"/>
  <c r="P254" i="5"/>
  <c r="L254" i="5"/>
  <c r="J254" i="5"/>
  <c r="N254" i="5" s="1"/>
  <c r="P253" i="5"/>
  <c r="N253" i="5"/>
  <c r="L253" i="5"/>
  <c r="J253" i="5"/>
  <c r="P252" i="5"/>
  <c r="N252" i="5"/>
  <c r="L252" i="5"/>
  <c r="J252" i="5"/>
  <c r="H252" i="5"/>
  <c r="P251" i="5"/>
  <c r="N251" i="5"/>
  <c r="L251" i="5"/>
  <c r="J251" i="5"/>
  <c r="N250" i="5"/>
  <c r="L250" i="5"/>
  <c r="P250" i="5" s="1"/>
  <c r="J250" i="5"/>
  <c r="P249" i="5"/>
  <c r="N249" i="5"/>
  <c r="L249" i="5"/>
  <c r="J249" i="5"/>
  <c r="H249" i="5"/>
  <c r="P248" i="5"/>
  <c r="N248" i="5"/>
  <c r="L248" i="5"/>
  <c r="J248" i="5"/>
  <c r="P247" i="5"/>
  <c r="N247" i="5"/>
  <c r="L247" i="5"/>
  <c r="J247" i="5"/>
  <c r="P246" i="5"/>
  <c r="L246" i="5"/>
  <c r="J246" i="5"/>
  <c r="N246" i="5" s="1"/>
  <c r="H246" i="5"/>
  <c r="P245" i="5"/>
  <c r="N245" i="5"/>
  <c r="L245" i="5"/>
  <c r="J245" i="5"/>
  <c r="N244" i="5"/>
  <c r="L244" i="5"/>
  <c r="P244" i="5" s="1"/>
  <c r="J244" i="5"/>
  <c r="P243" i="5"/>
  <c r="N243" i="5"/>
  <c r="L243" i="5"/>
  <c r="J243" i="5"/>
  <c r="H243" i="5"/>
  <c r="P242" i="5"/>
  <c r="L242" i="5"/>
  <c r="J242" i="5"/>
  <c r="N242" i="5" s="1"/>
  <c r="P241" i="5"/>
  <c r="N241" i="5"/>
  <c r="L241" i="5"/>
  <c r="J241" i="5"/>
  <c r="P240" i="5"/>
  <c r="N240" i="5"/>
  <c r="L240" i="5"/>
  <c r="J240" i="5"/>
  <c r="H240" i="5"/>
  <c r="P239" i="5"/>
  <c r="N239" i="5"/>
  <c r="L239" i="5"/>
  <c r="J239" i="5"/>
  <c r="N238" i="5"/>
  <c r="L238" i="5"/>
  <c r="P238" i="5" s="1"/>
  <c r="J238" i="5"/>
  <c r="P237" i="5"/>
  <c r="N237" i="5"/>
  <c r="L237" i="5"/>
  <c r="J237" i="5"/>
  <c r="H237" i="5"/>
  <c r="P236" i="5"/>
  <c r="N236" i="5"/>
  <c r="L236" i="5"/>
  <c r="J236" i="5"/>
  <c r="P235" i="5"/>
  <c r="N235" i="5"/>
  <c r="L235" i="5"/>
  <c r="J235" i="5"/>
  <c r="P234" i="5"/>
  <c r="L234" i="5"/>
  <c r="J234" i="5"/>
  <c r="N234" i="5" s="1"/>
  <c r="H234" i="5"/>
  <c r="P233" i="5"/>
  <c r="N233" i="5"/>
  <c r="L233" i="5"/>
  <c r="J233" i="5"/>
  <c r="N232" i="5"/>
  <c r="L232" i="5"/>
  <c r="P232" i="5" s="1"/>
  <c r="J232" i="5"/>
  <c r="P231" i="5"/>
  <c r="N231" i="5"/>
  <c r="L231" i="5"/>
  <c r="H231" i="5"/>
  <c r="P230" i="5"/>
  <c r="L230" i="5"/>
  <c r="J230" i="5"/>
  <c r="N230" i="5" s="1"/>
  <c r="P229" i="5"/>
  <c r="N229" i="5"/>
  <c r="L229" i="5"/>
  <c r="J229" i="5"/>
  <c r="P228" i="5"/>
  <c r="N228" i="5"/>
  <c r="L228" i="5"/>
  <c r="J228" i="5"/>
  <c r="H228" i="5"/>
  <c r="P227" i="5"/>
  <c r="N227" i="5"/>
  <c r="L227" i="5"/>
  <c r="J227" i="5"/>
  <c r="N226" i="5"/>
  <c r="L226" i="5"/>
  <c r="P226" i="5" s="1"/>
  <c r="J226" i="5"/>
  <c r="P225" i="5"/>
  <c r="N225" i="5"/>
  <c r="L225" i="5"/>
  <c r="J225" i="5"/>
  <c r="K225" i="5" s="1"/>
  <c r="H225" i="5"/>
  <c r="P224" i="5"/>
  <c r="N224" i="5"/>
  <c r="L224" i="5"/>
  <c r="J224" i="5"/>
  <c r="P223" i="5"/>
  <c r="N223" i="5"/>
  <c r="L223" i="5"/>
  <c r="J223" i="5"/>
  <c r="P222" i="5"/>
  <c r="L222" i="5"/>
  <c r="J222" i="5"/>
  <c r="N222" i="5" s="1"/>
  <c r="H222" i="5"/>
  <c r="P221" i="5"/>
  <c r="N221" i="5"/>
  <c r="L221" i="5"/>
  <c r="J221" i="5"/>
  <c r="N220" i="5"/>
  <c r="L220" i="5"/>
  <c r="P220" i="5" s="1"/>
  <c r="J220" i="5"/>
  <c r="P219" i="5"/>
  <c r="N219" i="5"/>
  <c r="L219" i="5"/>
  <c r="J219" i="5"/>
  <c r="H219" i="5"/>
  <c r="P218" i="5"/>
  <c r="L218" i="5"/>
  <c r="J218" i="5"/>
  <c r="N218" i="5" s="1"/>
  <c r="P217" i="5"/>
  <c r="N217" i="5"/>
  <c r="L217" i="5"/>
  <c r="J217" i="5"/>
  <c r="P216" i="5"/>
  <c r="N216" i="5"/>
  <c r="L216" i="5"/>
  <c r="J216" i="5"/>
  <c r="H216" i="5"/>
  <c r="P215" i="5"/>
  <c r="N215" i="5"/>
  <c r="L215" i="5"/>
  <c r="J215" i="5"/>
  <c r="P214" i="5"/>
  <c r="N214" i="5"/>
  <c r="L214" i="5"/>
  <c r="J214" i="5"/>
  <c r="P213" i="5"/>
  <c r="N213" i="5"/>
  <c r="L213" i="5"/>
  <c r="J213" i="5"/>
  <c r="P210" i="5"/>
  <c r="N210" i="5"/>
  <c r="L210" i="5"/>
  <c r="J210" i="5"/>
  <c r="N209" i="5"/>
  <c r="L209" i="5"/>
  <c r="P209" i="5" s="1"/>
  <c r="J209" i="5"/>
  <c r="P208" i="5"/>
  <c r="N208" i="5"/>
  <c r="L208" i="5"/>
  <c r="J208" i="5"/>
  <c r="H208" i="5"/>
  <c r="P207" i="5"/>
  <c r="N207" i="5"/>
  <c r="L207" i="5"/>
  <c r="J207" i="5"/>
  <c r="P206" i="5"/>
  <c r="N206" i="5"/>
  <c r="L206" i="5"/>
  <c r="J206" i="5"/>
  <c r="P205" i="5"/>
  <c r="L205" i="5"/>
  <c r="J205" i="5"/>
  <c r="N205" i="5" s="1"/>
  <c r="H205" i="5"/>
  <c r="P204" i="5"/>
  <c r="N204" i="5"/>
  <c r="L204" i="5"/>
  <c r="J204" i="5"/>
  <c r="N203" i="5"/>
  <c r="L203" i="5"/>
  <c r="P203" i="5" s="1"/>
  <c r="J203" i="5"/>
  <c r="P202" i="5"/>
  <c r="N202" i="5"/>
  <c r="L202" i="5"/>
  <c r="J202" i="5"/>
  <c r="H202" i="5"/>
  <c r="P201" i="5"/>
  <c r="L201" i="5"/>
  <c r="J201" i="5"/>
  <c r="N201" i="5" s="1"/>
  <c r="P200" i="5"/>
  <c r="N200" i="5"/>
  <c r="L200" i="5"/>
  <c r="J200" i="5"/>
  <c r="P199" i="5"/>
  <c r="N199" i="5"/>
  <c r="L199" i="5"/>
  <c r="J199" i="5"/>
  <c r="H199" i="5"/>
  <c r="P198" i="5"/>
  <c r="N198" i="5"/>
  <c r="L198" i="5"/>
  <c r="J198" i="5"/>
  <c r="N197" i="5"/>
  <c r="L197" i="5"/>
  <c r="P197" i="5" s="1"/>
  <c r="J197" i="5"/>
  <c r="P196" i="5"/>
  <c r="N196" i="5"/>
  <c r="L196" i="5"/>
  <c r="J196" i="5"/>
  <c r="H196" i="5"/>
  <c r="P195" i="5"/>
  <c r="N195" i="5"/>
  <c r="L195" i="5"/>
  <c r="J195" i="5"/>
  <c r="P194" i="5"/>
  <c r="N194" i="5"/>
  <c r="L194" i="5"/>
  <c r="J194" i="5"/>
  <c r="P193" i="5"/>
  <c r="L193" i="5"/>
  <c r="J193" i="5"/>
  <c r="N193" i="5" s="1"/>
  <c r="H193" i="5"/>
  <c r="P192" i="5"/>
  <c r="N192" i="5"/>
  <c r="L192" i="5"/>
  <c r="J192" i="5"/>
  <c r="N191" i="5"/>
  <c r="L191" i="5"/>
  <c r="P191" i="5" s="1"/>
  <c r="J191" i="5"/>
  <c r="P190" i="5"/>
  <c r="N190" i="5"/>
  <c r="L190" i="5"/>
  <c r="J190" i="5"/>
  <c r="H190" i="5"/>
  <c r="P189" i="5"/>
  <c r="L189" i="5"/>
  <c r="J189" i="5"/>
  <c r="N189" i="5" s="1"/>
  <c r="P188" i="5"/>
  <c r="N188" i="5"/>
  <c r="L188" i="5"/>
  <c r="J188" i="5"/>
  <c r="P187" i="5"/>
  <c r="N187" i="5"/>
  <c r="L187" i="5"/>
  <c r="J187" i="5"/>
  <c r="H187" i="5"/>
  <c r="P186" i="5"/>
  <c r="N186" i="5"/>
  <c r="L186" i="5"/>
  <c r="J186" i="5"/>
  <c r="N185" i="5"/>
  <c r="L185" i="5"/>
  <c r="P185" i="5" s="1"/>
  <c r="J185" i="5"/>
  <c r="P184" i="5"/>
  <c r="N184" i="5"/>
  <c r="L184" i="5"/>
  <c r="J184" i="5"/>
  <c r="H184" i="5"/>
  <c r="P183" i="5"/>
  <c r="N183" i="5"/>
  <c r="L183" i="5"/>
  <c r="J183" i="5"/>
  <c r="P182" i="5"/>
  <c r="N182" i="5"/>
  <c r="L182" i="5"/>
  <c r="J182" i="5"/>
  <c r="P181" i="5"/>
  <c r="L181" i="5"/>
  <c r="J181" i="5"/>
  <c r="H181" i="5"/>
  <c r="P180" i="5"/>
  <c r="N180" i="5"/>
  <c r="L180" i="5"/>
  <c r="J180" i="5"/>
  <c r="N179" i="5"/>
  <c r="L179" i="5"/>
  <c r="P179" i="5" s="1"/>
  <c r="J179" i="5"/>
  <c r="P178" i="5"/>
  <c r="N178" i="5"/>
  <c r="L178" i="5"/>
  <c r="J178" i="5"/>
  <c r="H178" i="5"/>
  <c r="P177" i="5"/>
  <c r="L177" i="5"/>
  <c r="J177" i="5"/>
  <c r="N177" i="5" s="1"/>
  <c r="P176" i="5"/>
  <c r="N176" i="5"/>
  <c r="L176" i="5"/>
  <c r="J176" i="5"/>
  <c r="P175" i="5"/>
  <c r="N175" i="5"/>
  <c r="L175" i="5"/>
  <c r="J175" i="5"/>
  <c r="K175" i="5" s="1"/>
  <c r="H175" i="5"/>
  <c r="P174" i="5"/>
  <c r="N174" i="5"/>
  <c r="L174" i="5"/>
  <c r="J174" i="5"/>
  <c r="N173" i="5"/>
  <c r="L173" i="5"/>
  <c r="P173" i="5" s="1"/>
  <c r="J173" i="5"/>
  <c r="P172" i="5"/>
  <c r="N172" i="5"/>
  <c r="L172" i="5"/>
  <c r="J172" i="5"/>
  <c r="H172" i="5"/>
  <c r="P171" i="5"/>
  <c r="N171" i="5"/>
  <c r="L171" i="5"/>
  <c r="J171" i="5"/>
  <c r="P170" i="5"/>
  <c r="N170" i="5"/>
  <c r="L170" i="5"/>
  <c r="J170" i="5"/>
  <c r="P169" i="5"/>
  <c r="L169" i="5"/>
  <c r="J169" i="5"/>
  <c r="N169" i="5" s="1"/>
  <c r="H169" i="5"/>
  <c r="P168" i="5"/>
  <c r="N168" i="5"/>
  <c r="L168" i="5"/>
  <c r="J168" i="5"/>
  <c r="N167" i="5"/>
  <c r="L167" i="5"/>
  <c r="P167" i="5" s="1"/>
  <c r="J167" i="5"/>
  <c r="P166" i="5"/>
  <c r="N166" i="5"/>
  <c r="L166" i="5"/>
  <c r="J166" i="5"/>
  <c r="H166" i="5"/>
  <c r="P165" i="5"/>
  <c r="L165" i="5"/>
  <c r="J165" i="5"/>
  <c r="N165" i="5" s="1"/>
  <c r="P164" i="5"/>
  <c r="N164" i="5"/>
  <c r="L164" i="5"/>
  <c r="J164" i="5"/>
  <c r="P163" i="5"/>
  <c r="N163" i="5"/>
  <c r="L163" i="5"/>
  <c r="J163" i="5"/>
  <c r="H163" i="5"/>
  <c r="P162" i="5"/>
  <c r="N162" i="5"/>
  <c r="L162" i="5"/>
  <c r="J162" i="5"/>
  <c r="P161" i="5"/>
  <c r="N161" i="5"/>
  <c r="L161" i="5"/>
  <c r="J161" i="5"/>
  <c r="P160" i="5"/>
  <c r="N160" i="5"/>
  <c r="L160" i="5"/>
  <c r="J160" i="5"/>
  <c r="P157" i="5"/>
  <c r="P155" i="5"/>
  <c r="P154" i="5"/>
  <c r="P153" i="5"/>
  <c r="P152" i="5"/>
  <c r="P151" i="5"/>
  <c r="P149" i="5"/>
  <c r="P148" i="5"/>
  <c r="P147" i="5"/>
  <c r="P146" i="5"/>
  <c r="P145" i="5"/>
  <c r="P143" i="5"/>
  <c r="P142" i="5"/>
  <c r="P141" i="5"/>
  <c r="P140" i="5"/>
  <c r="P139" i="5"/>
  <c r="P137" i="5"/>
  <c r="P136" i="5"/>
  <c r="P135" i="5"/>
  <c r="P134" i="5"/>
  <c r="P133" i="5"/>
  <c r="P131" i="5"/>
  <c r="P130" i="5"/>
  <c r="P129" i="5"/>
  <c r="P128" i="5"/>
  <c r="P127" i="5"/>
  <c r="P125" i="5"/>
  <c r="P124" i="5"/>
  <c r="P123" i="5"/>
  <c r="P122" i="5"/>
  <c r="P121" i="5"/>
  <c r="P119" i="5"/>
  <c r="P118" i="5"/>
  <c r="P117" i="5"/>
  <c r="P116" i="5"/>
  <c r="P115" i="5"/>
  <c r="P113" i="5"/>
  <c r="P112" i="5"/>
  <c r="P111" i="5"/>
  <c r="P110" i="5"/>
  <c r="P109" i="5"/>
  <c r="P108" i="5"/>
  <c r="P107" i="5"/>
  <c r="L13" i="5"/>
  <c r="H16" i="5"/>
  <c r="J13" i="5"/>
  <c r="G131" i="3"/>
  <c r="O237" i="5" s="1"/>
  <c r="N157" i="5"/>
  <c r="N156" i="5"/>
  <c r="N155" i="5"/>
  <c r="N154" i="5"/>
  <c r="N153" i="5"/>
  <c r="N151" i="5"/>
  <c r="N150" i="5"/>
  <c r="N149" i="5"/>
  <c r="N147" i="5"/>
  <c r="N146" i="5"/>
  <c r="N145" i="5"/>
  <c r="N144" i="5"/>
  <c r="N143" i="5"/>
  <c r="N142" i="5"/>
  <c r="N141" i="5"/>
  <c r="N139" i="5"/>
  <c r="N138" i="5"/>
  <c r="N137" i="5"/>
  <c r="N135" i="5"/>
  <c r="N134" i="5"/>
  <c r="N133" i="5"/>
  <c r="N132" i="5"/>
  <c r="N131" i="5"/>
  <c r="N130" i="5"/>
  <c r="N129" i="5"/>
  <c r="N127" i="5"/>
  <c r="N126" i="5"/>
  <c r="N125" i="5"/>
  <c r="N123" i="5"/>
  <c r="N122" i="5"/>
  <c r="N121" i="5"/>
  <c r="N120" i="5"/>
  <c r="N119" i="5"/>
  <c r="N118" i="5"/>
  <c r="N117" i="5"/>
  <c r="N115" i="5"/>
  <c r="N114" i="5"/>
  <c r="N113" i="5"/>
  <c r="N111" i="5"/>
  <c r="N110" i="5"/>
  <c r="N109" i="5"/>
  <c r="N108" i="5"/>
  <c r="N107" i="5"/>
  <c r="L157" i="5"/>
  <c r="L156" i="5"/>
  <c r="P156" i="5" s="1"/>
  <c r="L155" i="5"/>
  <c r="L154" i="5"/>
  <c r="L153" i="5"/>
  <c r="L152" i="5"/>
  <c r="L151" i="5"/>
  <c r="L150" i="5"/>
  <c r="P150" i="5" s="1"/>
  <c r="L149" i="5"/>
  <c r="L148" i="5"/>
  <c r="L147" i="5"/>
  <c r="L146" i="5"/>
  <c r="L145" i="5"/>
  <c r="L144" i="5"/>
  <c r="P144" i="5" s="1"/>
  <c r="L143" i="5"/>
  <c r="L142" i="5"/>
  <c r="L141" i="5"/>
  <c r="L140" i="5"/>
  <c r="L139" i="5"/>
  <c r="L138" i="5"/>
  <c r="P138" i="5" s="1"/>
  <c r="L137" i="5"/>
  <c r="L136" i="5"/>
  <c r="L135" i="5"/>
  <c r="L134" i="5"/>
  <c r="L133" i="5"/>
  <c r="L132" i="5"/>
  <c r="P132" i="5" s="1"/>
  <c r="L131" i="5"/>
  <c r="L130" i="5"/>
  <c r="L129" i="5"/>
  <c r="L128" i="5"/>
  <c r="L127" i="5"/>
  <c r="L126" i="5"/>
  <c r="P126" i="5" s="1"/>
  <c r="L125" i="5"/>
  <c r="L124" i="5"/>
  <c r="L123" i="5"/>
  <c r="L122" i="5"/>
  <c r="L121" i="5"/>
  <c r="L120" i="5"/>
  <c r="P120" i="5" s="1"/>
  <c r="L119" i="5"/>
  <c r="L118" i="5"/>
  <c r="L117" i="5"/>
  <c r="L116" i="5"/>
  <c r="L115" i="5"/>
  <c r="L114" i="5"/>
  <c r="P114" i="5" s="1"/>
  <c r="L113" i="5"/>
  <c r="L112" i="5"/>
  <c r="L111" i="5"/>
  <c r="L110" i="5"/>
  <c r="L109" i="5"/>
  <c r="L108" i="5"/>
  <c r="L107" i="5"/>
  <c r="H110" i="5"/>
  <c r="H113" i="5"/>
  <c r="H116" i="5"/>
  <c r="H119" i="5"/>
  <c r="H122" i="5"/>
  <c r="H125" i="5"/>
  <c r="H128" i="5"/>
  <c r="H131" i="5"/>
  <c r="H134" i="5"/>
  <c r="H137" i="5"/>
  <c r="H140" i="5"/>
  <c r="H143" i="5"/>
  <c r="H146" i="5"/>
  <c r="H149" i="5"/>
  <c r="H152" i="5"/>
  <c r="H155" i="5"/>
  <c r="H78" i="5"/>
  <c r="H81" i="5"/>
  <c r="H84" i="5"/>
  <c r="H75" i="5"/>
  <c r="H61" i="5"/>
  <c r="H64" i="5"/>
  <c r="H67" i="5"/>
  <c r="H58" i="5"/>
  <c r="H44" i="5"/>
  <c r="H47" i="5"/>
  <c r="H50" i="5"/>
  <c r="H41" i="5"/>
  <c r="H19" i="5"/>
  <c r="H22" i="5"/>
  <c r="H25" i="5"/>
  <c r="H28" i="5"/>
  <c r="H31" i="5"/>
  <c r="J157" i="5"/>
  <c r="J156" i="5"/>
  <c r="J155" i="5"/>
  <c r="J154" i="5"/>
  <c r="J153" i="5"/>
  <c r="J152" i="5"/>
  <c r="N152" i="5" s="1"/>
  <c r="J151" i="5"/>
  <c r="J150" i="5"/>
  <c r="J149" i="5"/>
  <c r="J148" i="5"/>
  <c r="N148" i="5" s="1"/>
  <c r="J147" i="5"/>
  <c r="J146" i="5"/>
  <c r="J145" i="5"/>
  <c r="J144" i="5"/>
  <c r="J143" i="5"/>
  <c r="J142" i="5"/>
  <c r="J141" i="5"/>
  <c r="J140" i="5"/>
  <c r="N140" i="5" s="1"/>
  <c r="J139" i="5"/>
  <c r="J138" i="5"/>
  <c r="J137" i="5"/>
  <c r="J136" i="5"/>
  <c r="N136" i="5" s="1"/>
  <c r="J135" i="5"/>
  <c r="J134" i="5"/>
  <c r="J133" i="5"/>
  <c r="J132" i="5"/>
  <c r="J131" i="5"/>
  <c r="J130" i="5"/>
  <c r="J129" i="5"/>
  <c r="J128" i="5"/>
  <c r="N128" i="5" s="1"/>
  <c r="J127" i="5"/>
  <c r="J126" i="5"/>
  <c r="J125" i="5"/>
  <c r="J124" i="5"/>
  <c r="N124" i="5" s="1"/>
  <c r="J123" i="5"/>
  <c r="J122" i="5"/>
  <c r="J121" i="5"/>
  <c r="J120" i="5"/>
  <c r="J119" i="5"/>
  <c r="J118" i="5"/>
  <c r="J117" i="5"/>
  <c r="J116" i="5"/>
  <c r="N116" i="5" s="1"/>
  <c r="J115" i="5"/>
  <c r="J114" i="5"/>
  <c r="J113" i="5"/>
  <c r="J112" i="5"/>
  <c r="N112" i="5" s="1"/>
  <c r="J111" i="5"/>
  <c r="J110" i="5"/>
  <c r="J109" i="5"/>
  <c r="J108" i="5"/>
  <c r="J107" i="5"/>
  <c r="O208" i="5" l="1"/>
  <c r="O261" i="9"/>
  <c r="O237" i="9"/>
  <c r="O208" i="9"/>
  <c r="O290" i="9"/>
  <c r="O184" i="9"/>
  <c r="O155" i="9"/>
  <c r="O314" i="9"/>
  <c r="O131" i="9"/>
  <c r="O261" i="5"/>
  <c r="H305" i="5"/>
  <c r="O184" i="5"/>
  <c r="J288" i="5"/>
  <c r="K287" i="5" s="1"/>
  <c r="J285" i="5"/>
  <c r="H287" i="5"/>
  <c r="L270" i="5"/>
  <c r="J289" i="5"/>
  <c r="J283" i="5"/>
  <c r="N283" i="5" s="1"/>
  <c r="L279" i="5"/>
  <c r="P279" i="5" s="1"/>
  <c r="J282" i="5"/>
  <c r="H311" i="5"/>
  <c r="H278" i="5"/>
  <c r="L271" i="5"/>
  <c r="H290" i="5"/>
  <c r="J290" i="5"/>
  <c r="L272" i="5"/>
  <c r="O290" i="5"/>
  <c r="J310" i="5"/>
  <c r="K308" i="5" s="1"/>
  <c r="H281" i="5"/>
  <c r="J291" i="5"/>
  <c r="L282" i="5"/>
  <c r="L273" i="5"/>
  <c r="P273" i="5" s="1"/>
  <c r="J266" i="5"/>
  <c r="J292" i="5"/>
  <c r="J311" i="5"/>
  <c r="N311" i="5" s="1"/>
  <c r="H272" i="5"/>
  <c r="K178" i="5"/>
  <c r="L274" i="5"/>
  <c r="H284" i="5"/>
  <c r="H299" i="5"/>
  <c r="H302" i="5"/>
  <c r="H293" i="5"/>
  <c r="J267" i="5"/>
  <c r="H275" i="5"/>
  <c r="J293" i="5"/>
  <c r="K293" i="5" s="1"/>
  <c r="L284" i="5"/>
  <c r="J275" i="5"/>
  <c r="N275" i="5" s="1"/>
  <c r="L293" i="5"/>
  <c r="H296" i="5"/>
  <c r="L283" i="5"/>
  <c r="O155" i="5"/>
  <c r="L275" i="5"/>
  <c r="L281" i="5"/>
  <c r="K243" i="5"/>
  <c r="J286" i="5"/>
  <c r="K163" i="5"/>
  <c r="K240" i="5"/>
  <c r="K166" i="5"/>
  <c r="K187" i="5"/>
  <c r="K190" i="5"/>
  <c r="K261" i="5"/>
  <c r="K266" i="5"/>
  <c r="K213" i="5"/>
  <c r="K269" i="5"/>
  <c r="J284" i="5"/>
  <c r="K314" i="5"/>
  <c r="J281" i="5"/>
  <c r="K281" i="5" s="1"/>
  <c r="K296" i="5"/>
  <c r="J300" i="5"/>
  <c r="K299" i="5" s="1"/>
  <c r="J312" i="5"/>
  <c r="K305" i="5"/>
  <c r="K272" i="5"/>
  <c r="K278" i="5"/>
  <c r="K302" i="5"/>
  <c r="K311" i="5"/>
  <c r="K258" i="5"/>
  <c r="K255" i="5"/>
  <c r="K252" i="5"/>
  <c r="K249" i="5"/>
  <c r="K237" i="5"/>
  <c r="K234" i="5"/>
  <c r="K231" i="5"/>
  <c r="K228" i="5"/>
  <c r="K222" i="5"/>
  <c r="K219" i="5"/>
  <c r="K216" i="5"/>
  <c r="K246" i="5"/>
  <c r="K208" i="5"/>
  <c r="K205" i="5"/>
  <c r="K202" i="5"/>
  <c r="K199" i="5"/>
  <c r="K196" i="5"/>
  <c r="K193" i="5"/>
  <c r="K184" i="5"/>
  <c r="K181" i="5"/>
  <c r="K172" i="5"/>
  <c r="K169" i="5"/>
  <c r="K160" i="5"/>
  <c r="N181" i="5"/>
  <c r="O131" i="5"/>
  <c r="K146" i="5"/>
  <c r="K155" i="5"/>
  <c r="K152" i="5"/>
  <c r="K149" i="5"/>
  <c r="K143" i="5"/>
  <c r="K137" i="5"/>
  <c r="K134" i="5"/>
  <c r="K125" i="5"/>
  <c r="K116" i="5"/>
  <c r="K128" i="5"/>
  <c r="K140" i="5"/>
  <c r="K131" i="5"/>
  <c r="K122" i="5"/>
  <c r="K107" i="5"/>
  <c r="K119" i="5"/>
  <c r="K113" i="5"/>
  <c r="K110" i="5"/>
  <c r="G92" i="5"/>
  <c r="G93" i="5"/>
  <c r="G94" i="5"/>
  <c r="L94" i="5" s="1"/>
  <c r="G95" i="5"/>
  <c r="G96" i="5"/>
  <c r="G97" i="5"/>
  <c r="G98" i="5"/>
  <c r="G99" i="5"/>
  <c r="G100" i="5"/>
  <c r="G101" i="5"/>
  <c r="G102" i="5"/>
  <c r="G103" i="5"/>
  <c r="G90" i="5"/>
  <c r="G91" i="5"/>
  <c r="L89" i="5"/>
  <c r="F92" i="5"/>
  <c r="F93" i="5"/>
  <c r="F94" i="5"/>
  <c r="F95" i="5"/>
  <c r="F96" i="5"/>
  <c r="F97" i="5"/>
  <c r="F98" i="5"/>
  <c r="F99" i="5"/>
  <c r="F100" i="5"/>
  <c r="F101" i="5"/>
  <c r="F102" i="5"/>
  <c r="F103" i="5"/>
  <c r="F90" i="5"/>
  <c r="F91" i="5"/>
  <c r="F89" i="5"/>
  <c r="P103" i="5"/>
  <c r="N103" i="5"/>
  <c r="P102" i="5"/>
  <c r="N102" i="5"/>
  <c r="P101" i="5"/>
  <c r="P100" i="5"/>
  <c r="P99" i="5"/>
  <c r="N99" i="5"/>
  <c r="P98" i="5"/>
  <c r="N98" i="5"/>
  <c r="P97" i="5"/>
  <c r="N97" i="5"/>
  <c r="P96" i="5"/>
  <c r="N96" i="5"/>
  <c r="P95" i="5"/>
  <c r="P94" i="5"/>
  <c r="P93" i="5"/>
  <c r="N93" i="5"/>
  <c r="P92" i="5"/>
  <c r="N92" i="5"/>
  <c r="P91" i="5"/>
  <c r="N91" i="5"/>
  <c r="P90" i="5"/>
  <c r="N90" i="5"/>
  <c r="P89" i="5"/>
  <c r="N89" i="5"/>
  <c r="P86" i="5"/>
  <c r="N86" i="5"/>
  <c r="L86" i="5"/>
  <c r="J86" i="5"/>
  <c r="P85" i="5"/>
  <c r="N85" i="5"/>
  <c r="L85" i="5"/>
  <c r="J85" i="5"/>
  <c r="P84" i="5"/>
  <c r="L84" i="5"/>
  <c r="J84" i="5"/>
  <c r="N84" i="5" s="1"/>
  <c r="P83" i="5"/>
  <c r="L83" i="5"/>
  <c r="J83" i="5"/>
  <c r="N83" i="5" s="1"/>
  <c r="P82" i="5"/>
  <c r="N82" i="5"/>
  <c r="L82" i="5"/>
  <c r="J82" i="5"/>
  <c r="P81" i="5"/>
  <c r="N81" i="5"/>
  <c r="L81" i="5"/>
  <c r="J81" i="5"/>
  <c r="P80" i="5"/>
  <c r="N80" i="5"/>
  <c r="L80" i="5"/>
  <c r="J80" i="5"/>
  <c r="P79" i="5"/>
  <c r="N79" i="5"/>
  <c r="L79" i="5"/>
  <c r="J79" i="5"/>
  <c r="P78" i="5"/>
  <c r="L78" i="5"/>
  <c r="J78" i="5"/>
  <c r="N78" i="5" s="1"/>
  <c r="P77" i="5"/>
  <c r="L77" i="5"/>
  <c r="J77" i="5"/>
  <c r="N77" i="5" s="1"/>
  <c r="P76" i="5"/>
  <c r="N76" i="5"/>
  <c r="L76" i="5"/>
  <c r="J76" i="5"/>
  <c r="P75" i="5"/>
  <c r="N75" i="5"/>
  <c r="L75" i="5"/>
  <c r="J75" i="5"/>
  <c r="P74" i="5"/>
  <c r="N74" i="5"/>
  <c r="L74" i="5"/>
  <c r="J74" i="5"/>
  <c r="P73" i="5"/>
  <c r="N73" i="5"/>
  <c r="L73" i="5"/>
  <c r="J73" i="5"/>
  <c r="P72" i="5"/>
  <c r="N72" i="5"/>
  <c r="L72" i="5"/>
  <c r="J72" i="5"/>
  <c r="P52" i="5"/>
  <c r="N52" i="5"/>
  <c r="L52" i="5"/>
  <c r="J52" i="5"/>
  <c r="P51" i="5"/>
  <c r="N51" i="5"/>
  <c r="L51" i="5"/>
  <c r="J51" i="5"/>
  <c r="P50" i="5"/>
  <c r="L50" i="5"/>
  <c r="J50" i="5"/>
  <c r="P49" i="5"/>
  <c r="L49" i="5"/>
  <c r="J49" i="5"/>
  <c r="N49" i="5" s="1"/>
  <c r="P48" i="5"/>
  <c r="N48" i="5"/>
  <c r="L48" i="5"/>
  <c r="J48" i="5"/>
  <c r="P47" i="5"/>
  <c r="N47" i="5"/>
  <c r="L47" i="5"/>
  <c r="J47" i="5"/>
  <c r="P46" i="5"/>
  <c r="N46" i="5"/>
  <c r="L46" i="5"/>
  <c r="J46" i="5"/>
  <c r="P45" i="5"/>
  <c r="N45" i="5"/>
  <c r="L45" i="5"/>
  <c r="J45" i="5"/>
  <c r="P44" i="5"/>
  <c r="L44" i="5"/>
  <c r="J44" i="5"/>
  <c r="N44" i="5" s="1"/>
  <c r="P43" i="5"/>
  <c r="L43" i="5"/>
  <c r="J43" i="5"/>
  <c r="N43" i="5" s="1"/>
  <c r="P42" i="5"/>
  <c r="N42" i="5"/>
  <c r="L42" i="5"/>
  <c r="J42" i="5"/>
  <c r="P41" i="5"/>
  <c r="N41" i="5"/>
  <c r="L41" i="5"/>
  <c r="J41" i="5"/>
  <c r="P40" i="5"/>
  <c r="N40" i="5"/>
  <c r="L40" i="5"/>
  <c r="J40" i="5"/>
  <c r="P39" i="5"/>
  <c r="N39" i="5"/>
  <c r="L39" i="5"/>
  <c r="J39" i="5"/>
  <c r="P38" i="5"/>
  <c r="N38" i="5"/>
  <c r="L38" i="5"/>
  <c r="J38" i="5"/>
  <c r="P69" i="5"/>
  <c r="P68" i="5"/>
  <c r="P67" i="5"/>
  <c r="P66" i="5"/>
  <c r="P65" i="5"/>
  <c r="P64" i="5"/>
  <c r="P63" i="5"/>
  <c r="P62" i="5"/>
  <c r="P61" i="5"/>
  <c r="P60" i="5"/>
  <c r="P59" i="5"/>
  <c r="P58" i="5"/>
  <c r="P57" i="5"/>
  <c r="P56" i="5"/>
  <c r="P55" i="5"/>
  <c r="N69" i="5"/>
  <c r="N68" i="5"/>
  <c r="N65" i="5"/>
  <c r="N64" i="5"/>
  <c r="N63" i="5"/>
  <c r="N62" i="5"/>
  <c r="N59" i="5"/>
  <c r="N58" i="5"/>
  <c r="N57" i="5"/>
  <c r="N56" i="5"/>
  <c r="N55" i="5"/>
  <c r="L69" i="5"/>
  <c r="L68" i="5"/>
  <c r="L67" i="5"/>
  <c r="L66" i="5"/>
  <c r="L65" i="5"/>
  <c r="L64" i="5"/>
  <c r="L63" i="5"/>
  <c r="L62" i="5"/>
  <c r="L61" i="5"/>
  <c r="L60" i="5"/>
  <c r="L59" i="5"/>
  <c r="L58" i="5"/>
  <c r="L57" i="5"/>
  <c r="L56" i="5"/>
  <c r="L55" i="5"/>
  <c r="J69" i="5"/>
  <c r="J68" i="5"/>
  <c r="J67" i="5"/>
  <c r="N67" i="5" s="1"/>
  <c r="J66" i="5"/>
  <c r="N66" i="5" s="1"/>
  <c r="J65" i="5"/>
  <c r="J64" i="5"/>
  <c r="J63" i="5"/>
  <c r="J62" i="5"/>
  <c r="J61" i="5"/>
  <c r="N61" i="5" s="1"/>
  <c r="J60" i="5"/>
  <c r="N60" i="5" s="1"/>
  <c r="J59" i="5"/>
  <c r="J58" i="5"/>
  <c r="J57" i="5"/>
  <c r="J56" i="5"/>
  <c r="J55" i="5"/>
  <c r="P17" i="5"/>
  <c r="P18" i="5"/>
  <c r="P19" i="5"/>
  <c r="P20" i="5"/>
  <c r="P22" i="5"/>
  <c r="P24" i="5"/>
  <c r="P25" i="5"/>
  <c r="P27" i="5"/>
  <c r="P28" i="5"/>
  <c r="P29" i="5"/>
  <c r="P32" i="5"/>
  <c r="P33" i="5"/>
  <c r="P14" i="5"/>
  <c r="P15" i="5"/>
  <c r="P13" i="5"/>
  <c r="N16" i="5"/>
  <c r="N17" i="5"/>
  <c r="N18" i="5"/>
  <c r="N19" i="5"/>
  <c r="N20" i="5"/>
  <c r="N21" i="5"/>
  <c r="N22" i="5"/>
  <c r="N23" i="5"/>
  <c r="N24" i="5"/>
  <c r="N25" i="5"/>
  <c r="N26" i="5"/>
  <c r="N27" i="5"/>
  <c r="N28" i="5"/>
  <c r="N29" i="5"/>
  <c r="N30" i="5"/>
  <c r="N31" i="5"/>
  <c r="N32" i="5"/>
  <c r="N33" i="5"/>
  <c r="N14" i="5"/>
  <c r="N15" i="5"/>
  <c r="N13" i="5"/>
  <c r="L16" i="5"/>
  <c r="P16" i="5" s="1"/>
  <c r="L17" i="5"/>
  <c r="L18" i="5"/>
  <c r="L19" i="5"/>
  <c r="L20" i="5"/>
  <c r="L21" i="5"/>
  <c r="P21" i="5" s="1"/>
  <c r="L22" i="5"/>
  <c r="L23" i="5"/>
  <c r="P23" i="5" s="1"/>
  <c r="L24" i="5"/>
  <c r="L25" i="5"/>
  <c r="L26" i="5"/>
  <c r="P26" i="5" s="1"/>
  <c r="L27" i="5"/>
  <c r="L28" i="5"/>
  <c r="L29" i="5"/>
  <c r="L30" i="5"/>
  <c r="P30" i="5" s="1"/>
  <c r="L31" i="5"/>
  <c r="P31" i="5" s="1"/>
  <c r="L32" i="5"/>
  <c r="L33" i="5"/>
  <c r="L14" i="5"/>
  <c r="L15" i="5"/>
  <c r="J16" i="5"/>
  <c r="J17" i="5"/>
  <c r="J18" i="5"/>
  <c r="J19" i="5"/>
  <c r="J20" i="5"/>
  <c r="J21" i="5"/>
  <c r="J22" i="5"/>
  <c r="J23" i="5"/>
  <c r="J24" i="5"/>
  <c r="J25" i="5"/>
  <c r="J26" i="5"/>
  <c r="J27" i="5"/>
  <c r="J28" i="5"/>
  <c r="J29" i="5"/>
  <c r="J30" i="5"/>
  <c r="J31" i="5"/>
  <c r="J32" i="5"/>
  <c r="J33" i="5"/>
  <c r="J15" i="5"/>
  <c r="J14" i="5"/>
  <c r="K13" i="5" s="1"/>
  <c r="K290" i="5" l="1"/>
  <c r="K284" i="5"/>
  <c r="L91" i="5"/>
  <c r="J97" i="5"/>
  <c r="J92" i="5"/>
  <c r="L102" i="5"/>
  <c r="J100" i="5"/>
  <c r="N100" i="5" s="1"/>
  <c r="L101" i="5"/>
  <c r="L100" i="5"/>
  <c r="L99" i="5"/>
  <c r="J93" i="5"/>
  <c r="L103" i="5"/>
  <c r="J99" i="5"/>
  <c r="L98" i="5"/>
  <c r="L97" i="5"/>
  <c r="L96" i="5"/>
  <c r="L95" i="5"/>
  <c r="J96" i="5"/>
  <c r="L93" i="5"/>
  <c r="J94" i="5"/>
  <c r="N94" i="5" s="1"/>
  <c r="L92" i="5"/>
  <c r="J101" i="5"/>
  <c r="N101" i="5" s="1"/>
  <c r="L90" i="5"/>
  <c r="J91" i="5"/>
  <c r="J90" i="5"/>
  <c r="J103" i="5"/>
  <c r="J102" i="5"/>
  <c r="K275" i="5"/>
  <c r="H98" i="5"/>
  <c r="J95" i="5"/>
  <c r="K95" i="5" s="1"/>
  <c r="H95" i="5"/>
  <c r="J89" i="5"/>
  <c r="H92" i="5"/>
  <c r="J98" i="5"/>
  <c r="H101" i="5"/>
  <c r="K38" i="5"/>
  <c r="K47" i="5"/>
  <c r="K41" i="5"/>
  <c r="K50" i="5"/>
  <c r="K72" i="5"/>
  <c r="K75" i="5"/>
  <c r="N50" i="5"/>
  <c r="K84" i="5"/>
  <c r="K81" i="5"/>
  <c r="K78" i="5"/>
  <c r="K44" i="5"/>
  <c r="K67" i="5"/>
  <c r="K64" i="5"/>
  <c r="K61" i="5"/>
  <c r="K58" i="5"/>
  <c r="K55" i="5"/>
  <c r="K92" i="5" l="1"/>
  <c r="K98" i="5"/>
  <c r="K101" i="5"/>
  <c r="K89" i="5"/>
  <c r="N95" i="5"/>
  <c r="G128" i="3"/>
  <c r="G125" i="3"/>
  <c r="G122" i="3"/>
  <c r="G119" i="3"/>
  <c r="G116" i="3"/>
  <c r="G113" i="3"/>
  <c r="G110" i="3"/>
  <c r="G107" i="3"/>
  <c r="G102" i="3"/>
  <c r="G99" i="3"/>
  <c r="G96" i="3"/>
  <c r="G93" i="3"/>
  <c r="G90" i="3"/>
  <c r="G70" i="3"/>
  <c r="G73" i="3"/>
  <c r="G76" i="3"/>
  <c r="G79" i="3"/>
  <c r="G82" i="3"/>
  <c r="G85" i="3"/>
  <c r="G67" i="3"/>
  <c r="K19" i="5"/>
  <c r="K22" i="5"/>
  <c r="K31" i="5"/>
  <c r="O47" i="9" l="1"/>
  <c r="O64" i="9"/>
  <c r="O98" i="9"/>
  <c r="O81" i="9"/>
  <c r="O296" i="9"/>
  <c r="O190" i="9"/>
  <c r="O166" i="9"/>
  <c r="O137" i="9"/>
  <c r="O113" i="9"/>
  <c r="O243" i="9"/>
  <c r="O272" i="9"/>
  <c r="O219" i="9"/>
  <c r="O28" i="5"/>
  <c r="O28" i="9"/>
  <c r="O78" i="9"/>
  <c r="O61" i="9"/>
  <c r="O44" i="9"/>
  <c r="O95" i="9"/>
  <c r="O281" i="9"/>
  <c r="O252" i="9"/>
  <c r="O175" i="9"/>
  <c r="O122" i="9"/>
  <c r="O305" i="9"/>
  <c r="O146" i="9"/>
  <c r="O199" i="9"/>
  <c r="O228" i="9"/>
  <c r="O67" i="9"/>
  <c r="O50" i="9"/>
  <c r="O84" i="9"/>
  <c r="O101" i="9"/>
  <c r="O119" i="9"/>
  <c r="O249" i="9"/>
  <c r="O278" i="9"/>
  <c r="O225" i="9"/>
  <c r="O196" i="9"/>
  <c r="O302" i="9"/>
  <c r="O172" i="9"/>
  <c r="O143" i="9"/>
  <c r="O22" i="5"/>
  <c r="O22" i="9"/>
  <c r="O107" i="9"/>
  <c r="O266" i="9"/>
  <c r="O213" i="9"/>
  <c r="O160" i="9"/>
  <c r="O169" i="9"/>
  <c r="O222" i="9"/>
  <c r="O275" i="9"/>
  <c r="O193" i="9"/>
  <c r="O140" i="9"/>
  <c r="O116" i="9"/>
  <c r="O246" i="9"/>
  <c r="O299" i="9"/>
  <c r="O31" i="5"/>
  <c r="O31" i="9"/>
  <c r="O308" i="9"/>
  <c r="O149" i="9"/>
  <c r="O125" i="9"/>
  <c r="O255" i="9"/>
  <c r="O231" i="9"/>
  <c r="O284" i="9"/>
  <c r="O202" i="9"/>
  <c r="O178" i="9"/>
  <c r="O25" i="5"/>
  <c r="O25" i="9"/>
  <c r="O19" i="5"/>
  <c r="O19" i="9"/>
  <c r="O38" i="9"/>
  <c r="O72" i="9"/>
  <c r="O89" i="9"/>
  <c r="O55" i="9"/>
  <c r="O240" i="9"/>
  <c r="O187" i="9"/>
  <c r="O110" i="9"/>
  <c r="O293" i="9"/>
  <c r="O269" i="9"/>
  <c r="O216" i="9"/>
  <c r="O163" i="9"/>
  <c r="O134" i="9"/>
  <c r="O13" i="5"/>
  <c r="O13" i="9"/>
  <c r="O258" i="9"/>
  <c r="O205" i="9"/>
  <c r="O287" i="9"/>
  <c r="O234" i="9"/>
  <c r="O181" i="9"/>
  <c r="O128" i="9"/>
  <c r="O311" i="9"/>
  <c r="O152" i="9"/>
  <c r="O16" i="5"/>
  <c r="O16" i="9"/>
  <c r="O92" i="9"/>
  <c r="O75" i="9"/>
  <c r="O58" i="9"/>
  <c r="O41" i="9"/>
  <c r="O47" i="5"/>
  <c r="O187" i="5"/>
  <c r="O293" i="5"/>
  <c r="O240" i="5"/>
  <c r="O269" i="5"/>
  <c r="O163" i="5"/>
  <c r="O219" i="5"/>
  <c r="O272" i="5"/>
  <c r="O190" i="5"/>
  <c r="O166" i="5"/>
  <c r="O296" i="5"/>
  <c r="O243" i="5"/>
  <c r="O101" i="5"/>
  <c r="O75" i="5"/>
  <c r="O249" i="5"/>
  <c r="O196" i="5"/>
  <c r="O302" i="5"/>
  <c r="O225" i="5"/>
  <c r="O278" i="5"/>
  <c r="O172" i="5"/>
  <c r="O84" i="5"/>
  <c r="O175" i="5"/>
  <c r="O281" i="5"/>
  <c r="O305" i="5"/>
  <c r="O199" i="5"/>
  <c r="O252" i="5"/>
  <c r="O228" i="5"/>
  <c r="O67" i="5"/>
  <c r="O193" i="5"/>
  <c r="O169" i="5"/>
  <c r="O246" i="5"/>
  <c r="O222" i="5"/>
  <c r="O299" i="5"/>
  <c r="O275" i="5"/>
  <c r="O95" i="5"/>
  <c r="O178" i="5"/>
  <c r="O284" i="5"/>
  <c r="O255" i="5"/>
  <c r="O308" i="5"/>
  <c r="O231" i="5"/>
  <c r="O202" i="5"/>
  <c r="O50" i="5"/>
  <c r="O107" i="5"/>
  <c r="O266" i="5"/>
  <c r="O160" i="5"/>
  <c r="O213" i="5"/>
  <c r="O311" i="5"/>
  <c r="O234" i="5"/>
  <c r="O205" i="5"/>
  <c r="O258" i="5"/>
  <c r="O287" i="5"/>
  <c r="O181" i="5"/>
  <c r="O98" i="5"/>
  <c r="O64" i="5"/>
  <c r="O137" i="5"/>
  <c r="O113" i="5"/>
  <c r="O81" i="5"/>
  <c r="O61" i="5"/>
  <c r="O140" i="5"/>
  <c r="O116" i="5"/>
  <c r="O122" i="5"/>
  <c r="O146" i="5"/>
  <c r="O44" i="5"/>
  <c r="O58" i="5"/>
  <c r="O149" i="5"/>
  <c r="O125" i="5"/>
  <c r="O92" i="5"/>
  <c r="O89" i="5"/>
  <c r="O38" i="5"/>
  <c r="O72" i="5"/>
  <c r="O55" i="5"/>
  <c r="O110" i="5"/>
  <c r="O134" i="5"/>
  <c r="O152" i="5"/>
  <c r="O128" i="5"/>
  <c r="O41" i="5"/>
  <c r="O78" i="5"/>
  <c r="O143" i="5"/>
  <c r="O119" i="5"/>
  <c r="K25" i="5"/>
  <c r="K28" i="5"/>
  <c r="K16" i="5"/>
</calcChain>
</file>

<file path=xl/connections.xml><?xml version="1.0" encoding="utf-8"?>
<connections xmlns="http://schemas.openxmlformats.org/spreadsheetml/2006/main">
  <connection id="1" name="1" type="6" refreshedVersion="6" background="1" saveData="1">
    <textPr codePage="850" sourceFile="U:\BRUNNER\Tracking Systems\Zed Mini\1.txt" decimal="," thousands=".">
      <textFields count="2">
        <textField/>
        <textField/>
      </textFields>
    </textPr>
  </connection>
  <connection id="2" name="2" type="6" refreshedVersion="6" background="1" saveData="1">
    <textPr codePage="850" sourceFile="U:\BRUNNER\Tracking Systems\Zed Mini\2.txt" decimal="," thousands=".">
      <textFields count="2">
        <textField/>
        <textField/>
      </textFields>
    </textPr>
  </connection>
  <connection id="3" name="3" type="6" refreshedVersion="6" background="1" saveData="1">
    <textPr codePage="850" sourceFile="U:\BRUNNER\Tracking Systems\Zed Mini\3.txt" decimal="," thousands=".">
      <textFields count="2">
        <textField/>
        <textField/>
      </textFields>
    </textPr>
  </connection>
  <connection id="4" name="4" type="6" refreshedVersion="6" background="1" saveData="1">
    <textPr codePage="850" sourceFile="U:\BRUNNER\Tracking Systems\Zed Mini\4.txt" decimal="," thousands=".">
      <textFields count="2">
        <textField/>
        <textField/>
      </textFields>
    </textPr>
  </connection>
  <connection id="5" name="5" type="6" refreshedVersion="6" background="1" saveData="1">
    <textPr codePage="850" sourceFile="U:\BRUNNER\Tracking Systems\Zed Mini\5.txt" decimal="," thousands=".">
      <textFields count="2">
        <textField/>
        <textField/>
      </textFields>
    </textPr>
  </connection>
  <connection id="6" name="6" type="6" refreshedVersion="6" background="1" saveData="1">
    <textPr codePage="850" sourceFile="U:\BRUNNER\Tracking Systems\Zed Mini\6.txt" decimal="," thousands=".">
      <textFields count="2">
        <textField/>
        <textField/>
      </textFields>
    </textPr>
  </connection>
  <connection id="7" name="TransformLog1" type="6" refreshedVersion="6" background="1">
    <textPr codePage="850" sourceFile="U:\BRUNNER\TransformLog.txt" decimal="," thousands=".">
      <textFields count="2">
        <textField/>
        <textField/>
      </textFields>
    </textPr>
  </connection>
  <connection id="8" name="TransformLog2" type="6" refreshedVersion="6" background="1">
    <textPr codePage="850" sourceFile="U:\BRUNNER\TransformLog.txt" decimal="," thousands=".">
      <textFields count="2">
        <textField/>
        <textField/>
      </textFields>
    </textPr>
  </connection>
  <connection id="9" name="TransformLog3" type="6" refreshedVersion="6" background="1">
    <textPr codePage="850" sourceFile="U:\BRUNNER\TransformLog.txt" decimal="," thousands=".">
      <textFields count="2">
        <textField/>
        <textField/>
      </textFields>
    </textPr>
  </connection>
  <connection id="10" name="TransformLog4" type="6" refreshedVersion="6" background="1">
    <textPr codePage="850" sourceFile="U:\BRUNNER\TransformLog.txt" decimal="," thousands=".">
      <textFields count="2">
        <textField/>
        <textField/>
      </textFields>
    </textPr>
  </connection>
  <connection id="11" name="TransformLog5" type="6" refreshedVersion="6" background="1">
    <textPr codePage="850" sourceFile="U:\BRUNNER\TransformLog.txt" decimal="," thousands=".">
      <textFields count="2">
        <textField/>
        <textField/>
      </textFields>
    </textPr>
  </connection>
  <connection id="12" name="TransformLog6" type="6" refreshedVersion="6" background="1">
    <textPr codePage="850" sourceFile="U:\BRUNNER\TransformLog.txt" decimal="," thousands=".">
      <textFields count="2">
        <textField/>
        <textField/>
      </textFields>
    </textPr>
  </connection>
</connections>
</file>

<file path=xl/sharedStrings.xml><?xml version="1.0" encoding="utf-8"?>
<sst xmlns="http://schemas.openxmlformats.org/spreadsheetml/2006/main" count="1313" uniqueCount="199">
  <si>
    <t>Test System Hardware Specifications:</t>
  </si>
  <si>
    <t>System</t>
  </si>
  <si>
    <t>Zotac VR GO 3.0</t>
  </si>
  <si>
    <t>CPU</t>
  </si>
  <si>
    <t>Intel Core i7-9750H (6-core, 2.6 GHz, up to 4.5 GHz)</t>
  </si>
  <si>
    <t>GPU</t>
  </si>
  <si>
    <t>NVIDIA GeForce RTX 2070 Mobile 8GB GDDR6 256-bit</t>
  </si>
  <si>
    <t>RAM</t>
  </si>
  <si>
    <t>16GB (2x8GB) DDR4-2666 SODIMM</t>
  </si>
  <si>
    <t>HD</t>
  </si>
  <si>
    <t>240GB M.2 NVMe SSD (R/W - 3,200/1,000 MB/s)</t>
  </si>
  <si>
    <t>MB</t>
  </si>
  <si>
    <t>Zotac ZBOX with Intel HM370</t>
  </si>
  <si>
    <t>Tracking Requirements:</t>
  </si>
  <si>
    <t>high precision / low drift</t>
  </si>
  <si>
    <t>low latency</t>
  </si>
  <si>
    <t>&lt; 10 ms</t>
  </si>
  <si>
    <t>high repetition rate</t>
  </si>
  <si>
    <t>min. 10 fps</t>
  </si>
  <si>
    <t>small design</t>
  </si>
  <si>
    <t>fit to northstar</t>
  </si>
  <si>
    <t>6DoF</t>
  </si>
  <si>
    <t>yes</t>
  </si>
  <si>
    <t>low price</t>
  </si>
  <si>
    <t>low workload on hardware</t>
  </si>
  <si>
    <t>CPU &amp; GPU &lt; 50 %</t>
  </si>
  <si>
    <t>inside-out only</t>
  </si>
  <si>
    <t>range</t>
  </si>
  <si>
    <t>Unity SDK</t>
  </si>
  <si>
    <t>FOV?</t>
  </si>
  <si>
    <t>Recommended by Project Northstar:</t>
  </si>
  <si>
    <t>Intel T265 / T261</t>
  </si>
  <si>
    <t>List of Tracking Systems:</t>
  </si>
  <si>
    <t>https://rosindustrial.org/3d-camera-survey</t>
  </si>
  <si>
    <t>only Orbbec® Astra Mini™ complies with the requirements</t>
  </si>
  <si>
    <t>new Intel device D435i (combines D435 and T265)</t>
  </si>
  <si>
    <t>Focus on reproducibility</t>
  </si>
  <si>
    <t>Experiments were taken on February 2021 with newest SDKs on newest supported Unity version</t>
  </si>
  <si>
    <t>Testtrack is visualized in Unity and in real world</t>
  </si>
  <si>
    <t>Unity scene basic workload (without tracking system):</t>
  </si>
  <si>
    <t>3 Test procedures:</t>
  </si>
  <si>
    <t>1) User holds device as still as possible 1.4 m above ground (near to chest height)</t>
  </si>
  <si>
    <t>2) User starts at Start/End-point in real world and ensure that tracking device inital offset is at virtual Start/End-point &amp; logs transform</t>
  </si>
  <si>
    <t>4) 6 metres to second corner without turning &amp; log transform</t>
  </si>
  <si>
    <t>5) 4 metres to last corner without turning &amp; log transform</t>
  </si>
  <si>
    <t>6) 6 metres back to start without turning &amp; log transform</t>
  </si>
  <si>
    <t>3) 360° to virtual Z-axis &amp; log transform</t>
  </si>
  <si>
    <t>General Information:</t>
  </si>
  <si>
    <t>Settings:</t>
  </si>
  <si>
    <t>Inside-out tracking</t>
  </si>
  <si>
    <t>Unity 2019.4.19f1</t>
  </si>
  <si>
    <t>Stereo cameras with IMU</t>
  </si>
  <si>
    <t>Unity Zed Plugin 3.4.0</t>
  </si>
  <si>
    <t>Spatial mapping available</t>
  </si>
  <si>
    <t>Zed SDK 3.4.0</t>
  </si>
  <si>
    <t>Nvidia Cuda 11.1</t>
  </si>
  <si>
    <t>2.2K (15 fps, 4416x1242)</t>
  </si>
  <si>
    <t>Dual 4M pixels sensors</t>
  </si>
  <si>
    <t>1080p (30 fps, 3840x1080)</t>
  </si>
  <si>
    <t>720p (60 fps, 2560x720)</t>
  </si>
  <si>
    <t>WVGA (100 fps, 1344x376)</t>
  </si>
  <si>
    <t>recording and streaming available</t>
  </si>
  <si>
    <t>0.1 - 15 m</t>
  </si>
  <si>
    <t>fov</t>
  </si>
  <si>
    <t>90° (H) x 60° (V) x 100° (D)</t>
  </si>
  <si>
    <t>fps</t>
  </si>
  <si>
    <t>100 Hz</t>
  </si>
  <si>
    <t>Accelerometer</t>
  </si>
  <si>
    <t>800 Hz</t>
  </si>
  <si>
    <t>Gyroscope</t>
  </si>
  <si>
    <t>Pose Update Rate</t>
  </si>
  <si>
    <t>6-DoF visual-inertial stereo</t>
  </si>
  <si>
    <t>SLAM with sensor fusion</t>
  </si>
  <si>
    <t>Translation drift</t>
  </si>
  <si>
    <t>Rotation drift</t>
  </si>
  <si>
    <t>(without loop correction)</t>
  </si>
  <si>
    <t>Unity RealSense Plugin (comes with SDK)</t>
  </si>
  <si>
    <t>Intel RealSense SDK 2.41.0.2657</t>
  </si>
  <si>
    <t>RealSense does not provide any special configuration possibilities, neither in Unity nor in provided Intel SDKs.</t>
  </si>
  <si>
    <t>The whole time CPU &amp; GPU workload will be tracked</t>
  </si>
  <si>
    <t>200 Hz</t>
  </si>
  <si>
    <t>62.5 Hz (up to +/- 4g)</t>
  </si>
  <si>
    <t>200 Hz (up to +/- 2000 °/s)</t>
  </si>
  <si>
    <t>V-SLAM</t>
  </si>
  <si>
    <t>fixed focus</t>
  </si>
  <si>
    <t>global shutter</t>
  </si>
  <si>
    <t>monochrome images @ 30 fps</t>
  </si>
  <si>
    <t>D: 173</t>
  </si>
  <si>
    <t>Video sensor:</t>
  </si>
  <si>
    <t>(no video stream exposed)</t>
  </si>
  <si>
    <t>Dual 848 x 800 camera</t>
  </si>
  <si>
    <t>IMU:</t>
  </si>
  <si>
    <t>no depth tracking</t>
  </si>
  <si>
    <t>Depth sensor:</t>
  </si>
  <si>
    <t>technology</t>
  </si>
  <si>
    <t>camera</t>
  </si>
  <si>
    <t>focus</t>
  </si>
  <si>
    <t>shutter</t>
  </si>
  <si>
    <t>available streams</t>
  </si>
  <si>
    <t>shutter sync (electronic, synched, rolling)</t>
  </si>
  <si>
    <t>N/A</t>
  </si>
  <si>
    <t>Fish-Eye Image Sensors with IMU</t>
  </si>
  <si>
    <t>Special Features:</t>
  </si>
  <si>
    <t>own VPU (relieves workload on PC)</t>
  </si>
  <si>
    <t>stereo depth sensing (binocular displacement calculation)</t>
  </si>
  <si>
    <t>Movidius MA215x</t>
  </si>
  <si>
    <t xml:space="preserve"> &lt; 1.0 %</t>
  </si>
  <si>
    <t>&lt; 1.0 %</t>
  </si>
  <si>
    <t>&lt; 0.013°/m ?</t>
  </si>
  <si>
    <t>(with loop correction)</t>
  </si>
  <si>
    <t>accuracy</t>
  </si>
  <si>
    <t>&lt; 1.5 % up to 3 m</t>
  </si>
  <si>
    <t>&lt; 7 % up to 15 m</t>
  </si>
  <si>
    <t>API provides low level access</t>
  </si>
  <si>
    <t>Video streaming (webcam)</t>
  </si>
  <si>
    <t>Average Hardware Workload:</t>
  </si>
  <si>
    <t>Object tracking is available &amp; will be improved</t>
  </si>
  <si>
    <t>&lt; 20 mm / m (2 %)</t>
  </si>
  <si>
    <t>(V-)SLAM = (Visual -) Simultaneous Localization and Mapping</t>
  </si>
  <si>
    <t>Loop correction = Tracking device recognizes old feature points and recalibrate the position and orientation</t>
  </si>
  <si>
    <t>Unity project will be used as compiled standard release build with default very low graphic settings (except V-Sync on) with a 2732 x 2048 resolution (iPad 2 Pro).</t>
  </si>
  <si>
    <t>Rotation only test: (35 to 45 seconds)</t>
  </si>
  <si>
    <t>3) User moves first 4 metres to next corner &amp; logs transform</t>
  </si>
  <si>
    <t>4) User turns 90° &amp; logs transform</t>
  </si>
  <si>
    <t>3) User moves first 4 metres to next corner without turning &amp; logs transform</t>
  </si>
  <si>
    <t>5) Move 6 metres to next corner &amp; log transform</t>
  </si>
  <si>
    <t>6) Turn 90° &amp; log transform</t>
  </si>
  <si>
    <t>7) Move 4 metres to next corner &amp; log transform</t>
  </si>
  <si>
    <t>8) Turn 90° &amp; log transform</t>
  </si>
  <si>
    <t>9) Move 6 metres to next corner &amp; log transform</t>
  </si>
  <si>
    <t>10) Turn 90° to inital position &amp; log transform</t>
  </si>
  <si>
    <t>Translation only test: (35 to 45 seconds)</t>
  </si>
  <si>
    <t>The evaluation of only one rotation test showed that the test suffers too much from human inaccuracy. One problem was the torsion of the USB connection cable, another was the human-estimated angle and orientation in the reference range of the tracking device, and finally the IMU center axis of the device is not visible to the tester, so he cannot orient himself exactly around which axis he is rotating the device. The test is therefore classified as unusable.</t>
  </si>
  <si>
    <t>#1</t>
  </si>
  <si>
    <t>x</t>
  </si>
  <si>
    <t>y</t>
  </si>
  <si>
    <t>z</t>
  </si>
  <si>
    <t>Position [m]</t>
  </si>
  <si>
    <t>Target Position [m]</t>
  </si>
  <si>
    <t>Target Data:</t>
  </si>
  <si>
    <t>Rotation Test</t>
  </si>
  <si>
    <t>Position drift [%]</t>
  </si>
  <si>
    <t>Rotation drift [%]</t>
  </si>
  <si>
    <t>Position drift [m]</t>
  </si>
  <si>
    <t>Rotation drift [°]</t>
  </si>
  <si>
    <t>Translation testtrack is a square 6 by 4 metres (measured and prepared with a meterstick with precision class III)</t>
  </si>
  <si>
    <t>* = Distance between two measuring points</t>
  </si>
  <si>
    <t>** = Rotation between two measuring points</t>
  </si>
  <si>
    <t>#2</t>
  </si>
  <si>
    <t>#3</t>
  </si>
  <si>
    <t>#4</t>
  </si>
  <si>
    <t>#5</t>
  </si>
  <si>
    <t>#6</t>
  </si>
  <si>
    <t>#7</t>
  </si>
  <si>
    <t>#8</t>
  </si>
  <si>
    <t>1) Log Transform</t>
  </si>
  <si>
    <t>2) User rotates device around 360° to virtual X-axis &amp; logs transform</t>
  </si>
  <si>
    <t>4) -360° to virtual Y-axis &amp; log transform</t>
  </si>
  <si>
    <t>5) 360° to virtual Y-axis &amp; log transform</t>
  </si>
  <si>
    <t>6) -360° to virtual Z-axis &amp; log transform</t>
  </si>
  <si>
    <t>7) -360° to virtual X-axis &amp; log transform</t>
  </si>
  <si>
    <t>Rotation tests:</t>
  </si>
  <si>
    <t>Translation tests:</t>
  </si>
  <si>
    <t>Translation Test</t>
  </si>
  <si>
    <t>Travel Distance [m]*</t>
  </si>
  <si>
    <t>Absolute Rotation [°]**</t>
  </si>
  <si>
    <t>#9</t>
  </si>
  <si>
    <t>Total rotation drift [°]</t>
  </si>
  <si>
    <t>Total position drift [m]</t>
  </si>
  <si>
    <t>Total Travel Distance [m]</t>
  </si>
  <si>
    <t>Total Absolute Rotation [°]</t>
  </si>
  <si>
    <t>Total position drift [%]</t>
  </si>
  <si>
    <t>Total rotation drift [%]</t>
  </si>
  <si>
    <t>#Empirically (arithmetic)</t>
  </si>
  <si>
    <t>Loop Correction tests:</t>
  </si>
  <si>
    <t>Loop Correction test: (100 to 120 seconds)</t>
  </si>
  <si>
    <t>11) Repeat from 1) one more time</t>
  </si>
  <si>
    <t>Loop Correction Test</t>
  </si>
  <si>
    <t>Total traveled [m]</t>
  </si>
  <si>
    <t>Total rotated [°]</t>
  </si>
  <si>
    <t>Start/End</t>
  </si>
  <si>
    <t>Intel T265</t>
  </si>
  <si>
    <t>Estimated Hardware Workload</t>
  </si>
  <si>
    <t>GPU:</t>
  </si>
  <si>
    <t>CPU:</t>
  </si>
  <si>
    <t>CPU usage:</t>
  </si>
  <si>
    <t>GPU usage:</t>
  </si>
  <si>
    <t>Zed Mini</t>
  </si>
  <si>
    <t>2. Corner</t>
  </si>
  <si>
    <t>1. Corner</t>
  </si>
  <si>
    <t>3. Corner</t>
  </si>
  <si>
    <t>90° Left Turn</t>
  </si>
  <si>
    <t>90° Left Turn (initial position)</t>
  </si>
  <si>
    <t>&lt; 300 € (max. 1000 €)</t>
  </si>
  <si>
    <t>depth range</t>
  </si>
  <si>
    <t>0.1 m to 10 m (precise 5 m to 10 m)</t>
  </si>
  <si>
    <t>Workload</t>
  </si>
  <si>
    <t>Rotation [°] [Order: YXZ]</t>
  </si>
  <si>
    <t>Target Rotation [°] [Order: YXZ]</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</si>
</sst>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12" x14ac:knownFonts="1">
    <font>
      <sz val="10"/>
      <name val="Arial"/>
      <family val="2"/>
    </font>
    <font>
      <sz val="11"/>
      <color indexed="8"/>
      <name val="Calibri"/>
      <family val="2"/>
      <charset val="1"/>
    </font>
    <font>
      <b/>
      <sz val="11"/>
      <color indexed="8"/>
      <name val="Calibri"/>
      <family val="2"/>
      <charset val="1"/>
    </font>
    <font>
      <b/>
      <sz val="11"/>
      <color indexed="8"/>
      <name val="Calibri"/>
      <family val="2"/>
    </font>
    <font>
      <sz val="11"/>
      <color indexed="8"/>
      <name val="Calibri"/>
      <family val="2"/>
    </font>
    <font>
      <sz val="11"/>
      <color rgb="FF006100"/>
      <name val="Calibri"/>
      <family val="2"/>
      <scheme val="minor"/>
    </font>
    <font>
      <sz val="11"/>
      <color rgb="FF9C6500"/>
      <name val="Calibri"/>
      <family val="2"/>
      <scheme val="minor"/>
    </font>
    <font>
      <b/>
      <u/>
      <sz val="11"/>
      <color indexed="8"/>
      <name val="Calibri"/>
      <family val="2"/>
    </font>
    <font>
      <b/>
      <u/>
      <sz val="11"/>
      <color rgb="FF006100"/>
      <name val="Calibri"/>
      <family val="2"/>
      <scheme val="minor"/>
    </font>
    <font>
      <sz val="26"/>
      <name val="Arial"/>
      <family val="2"/>
    </font>
    <font>
      <b/>
      <sz val="10"/>
      <name val="Arial"/>
      <family val="2"/>
    </font>
    <font>
      <u/>
      <sz val="10"/>
      <color theme="10"/>
      <name val="Arial"/>
      <family val="2"/>
    </font>
  </fonts>
  <fills count="4">
    <fill>
      <patternFill patternType="none"/>
    </fill>
    <fill>
      <patternFill patternType="gray125"/>
    </fill>
    <fill>
      <patternFill patternType="solid">
        <fgColor rgb="FFC6EFCE"/>
      </patternFill>
    </fill>
    <fill>
      <patternFill patternType="solid">
        <fgColor rgb="FFFFEB9C"/>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5">
    <xf numFmtId="0" fontId="0" fillId="0" borderId="0"/>
    <xf numFmtId="0" fontId="1" fillId="0" borderId="0"/>
    <xf numFmtId="0" fontId="5" fillId="2" borderId="0" applyNumberFormat="0" applyBorder="0" applyAlignment="0" applyProtection="0"/>
    <xf numFmtId="0" fontId="6" fillId="3" borderId="0" applyNumberFormat="0" applyBorder="0" applyAlignment="0" applyProtection="0"/>
    <xf numFmtId="0" fontId="11" fillId="0" borderId="0" applyNumberFormat="0" applyFill="0" applyBorder="0" applyAlignment="0" applyProtection="0"/>
  </cellStyleXfs>
  <cellXfs count="115">
    <xf numFmtId="0" fontId="0" fillId="0" borderId="0" xfId="0"/>
    <xf numFmtId="0" fontId="1" fillId="0" borderId="0" xfId="1"/>
    <xf numFmtId="0" fontId="2" fillId="0" borderId="0" xfId="1" applyFont="1"/>
    <xf numFmtId="0" fontId="1" fillId="0" borderId="0" xfId="1" applyFont="1" applyAlignment="1">
      <alignment horizontal="left"/>
    </xf>
    <xf numFmtId="0" fontId="1" fillId="0" borderId="0" xfId="1" applyFont="1"/>
    <xf numFmtId="0" fontId="1" fillId="0" borderId="0" xfId="1" applyAlignment="1">
      <alignment wrapText="1"/>
    </xf>
    <xf numFmtId="0" fontId="3" fillId="0" borderId="0" xfId="1" applyFont="1"/>
    <xf numFmtId="0" fontId="4" fillId="0" borderId="0" xfId="1" applyFont="1"/>
    <xf numFmtId="0" fontId="1" fillId="0" borderId="2" xfId="1" applyBorder="1"/>
    <xf numFmtId="0" fontId="1" fillId="0" borderId="3" xfId="1" applyBorder="1"/>
    <xf numFmtId="0" fontId="1" fillId="0" borderId="4" xfId="1" applyBorder="1"/>
    <xf numFmtId="0" fontId="3" fillId="0" borderId="6" xfId="1" applyFont="1" applyBorder="1"/>
    <xf numFmtId="0" fontId="3" fillId="0" borderId="1" xfId="1" applyFont="1" applyBorder="1"/>
    <xf numFmtId="0" fontId="1" fillId="0" borderId="0" xfId="1" applyBorder="1"/>
    <xf numFmtId="0" fontId="7" fillId="0" borderId="0" xfId="1" applyFont="1"/>
    <xf numFmtId="0" fontId="6" fillId="3" borderId="0" xfId="3"/>
    <xf numFmtId="0" fontId="3" fillId="0" borderId="2" xfId="1" applyFont="1" applyBorder="1"/>
    <xf numFmtId="164" fontId="1" fillId="0" borderId="2" xfId="1" applyNumberFormat="1" applyBorder="1"/>
    <xf numFmtId="164" fontId="1" fillId="0" borderId="7" xfId="1" applyNumberFormat="1" applyBorder="1"/>
    <xf numFmtId="164" fontId="1" fillId="0" borderId="3" xfId="1" applyNumberFormat="1" applyBorder="1"/>
    <xf numFmtId="164" fontId="1" fillId="0" borderId="8" xfId="1" applyNumberFormat="1" applyBorder="1"/>
    <xf numFmtId="164" fontId="1" fillId="0" borderId="4" xfId="1" applyNumberFormat="1" applyBorder="1"/>
    <xf numFmtId="164" fontId="1" fillId="0" borderId="9" xfId="1" applyNumberFormat="1" applyBorder="1"/>
    <xf numFmtId="0" fontId="3" fillId="0" borderId="10" xfId="1" applyFont="1" applyBorder="1"/>
    <xf numFmtId="164" fontId="1" fillId="0" borderId="0" xfId="1" applyNumberFormat="1" applyBorder="1"/>
    <xf numFmtId="0" fontId="3" fillId="0" borderId="0" xfId="1" applyFont="1" applyBorder="1" applyAlignment="1">
      <alignment vertical="center"/>
    </xf>
    <xf numFmtId="2" fontId="1" fillId="0" borderId="0" xfId="1" applyNumberFormat="1" applyBorder="1"/>
    <xf numFmtId="0" fontId="8" fillId="2" borderId="0" xfId="2" applyFont="1"/>
    <xf numFmtId="0" fontId="8" fillId="2" borderId="0" xfId="2" applyFont="1" applyBorder="1"/>
    <xf numFmtId="0" fontId="6" fillId="3" borderId="0" xfId="3" applyBorder="1"/>
    <xf numFmtId="0" fontId="1" fillId="0" borderId="0" xfId="1" applyBorder="1" applyAlignment="1">
      <alignment vertical="center" wrapText="1"/>
    </xf>
    <xf numFmtId="0" fontId="1" fillId="0" borderId="0" xfId="1" applyBorder="1" applyAlignment="1"/>
    <xf numFmtId="0" fontId="1" fillId="0" borderId="0" xfId="1" applyAlignment="1">
      <alignment wrapText="1"/>
    </xf>
    <xf numFmtId="164" fontId="1" fillId="0" borderId="0" xfId="1" applyNumberFormat="1"/>
    <xf numFmtId="164" fontId="3" fillId="0" borderId="1" xfId="1" applyNumberFormat="1" applyFont="1" applyBorder="1"/>
    <xf numFmtId="0" fontId="1" fillId="0" borderId="8" xfId="1" applyBorder="1"/>
    <xf numFmtId="0" fontId="1" fillId="0" borderId="9" xfId="1" applyBorder="1"/>
    <xf numFmtId="164" fontId="1" fillId="0" borderId="10" xfId="1" applyNumberFormat="1" applyBorder="1"/>
    <xf numFmtId="164" fontId="1" fillId="0" borderId="11" xfId="1" applyNumberFormat="1" applyBorder="1"/>
    <xf numFmtId="164" fontId="1" fillId="0" borderId="12" xfId="1" applyNumberFormat="1" applyBorder="1"/>
    <xf numFmtId="164" fontId="6" fillId="3" borderId="0" xfId="3" applyNumberFormat="1" applyBorder="1"/>
    <xf numFmtId="0" fontId="1" fillId="0" borderId="0" xfId="1" applyAlignment="1">
      <alignment vertical="top"/>
    </xf>
    <xf numFmtId="0" fontId="1" fillId="0" borderId="0" xfId="1" applyAlignment="1">
      <alignment vertical="top" wrapText="1"/>
    </xf>
    <xf numFmtId="0" fontId="1" fillId="0" borderId="0" xfId="1"/>
    <xf numFmtId="0" fontId="1" fillId="0" borderId="0" xfId="1" applyBorder="1" applyAlignment="1">
      <alignment vertical="center"/>
    </xf>
    <xf numFmtId="165" fontId="1" fillId="0" borderId="7" xfId="1" applyNumberFormat="1" applyBorder="1"/>
    <xf numFmtId="165" fontId="1" fillId="0" borderId="8" xfId="1" applyNumberFormat="1" applyBorder="1"/>
    <xf numFmtId="165" fontId="1" fillId="0" borderId="9" xfId="1" applyNumberFormat="1" applyBorder="1"/>
    <xf numFmtId="165" fontId="1" fillId="0" borderId="2" xfId="1" applyNumberFormat="1" applyBorder="1"/>
    <xf numFmtId="165" fontId="1" fillId="0" borderId="3" xfId="1" applyNumberFormat="1" applyBorder="1"/>
    <xf numFmtId="165" fontId="1" fillId="0" borderId="4" xfId="1" applyNumberFormat="1" applyBorder="1"/>
    <xf numFmtId="165" fontId="1" fillId="0" borderId="2" xfId="1" applyNumberFormat="1" applyBorder="1" applyAlignment="1">
      <alignment horizontal="right"/>
    </xf>
    <xf numFmtId="165" fontId="1" fillId="0" borderId="3" xfId="1" applyNumberFormat="1" applyBorder="1" applyAlignment="1">
      <alignment horizontal="right"/>
    </xf>
    <xf numFmtId="165" fontId="1" fillId="0" borderId="4" xfId="1" applyNumberFormat="1" applyBorder="1" applyAlignment="1">
      <alignment horizontal="right"/>
    </xf>
    <xf numFmtId="0" fontId="1" fillId="0" borderId="0" xfId="1"/>
    <xf numFmtId="0" fontId="0" fillId="0" borderId="2" xfId="0" applyBorder="1"/>
    <xf numFmtId="0" fontId="0" fillId="0" borderId="4" xfId="0" applyBorder="1"/>
    <xf numFmtId="9" fontId="1" fillId="0" borderId="0" xfId="1" applyNumberFormat="1" applyAlignment="1">
      <alignment horizontal="left"/>
    </xf>
    <xf numFmtId="0" fontId="1" fillId="0" borderId="0" xfId="1" applyAlignment="1">
      <alignment horizontal="right"/>
    </xf>
    <xf numFmtId="9" fontId="0" fillId="0" borderId="11" xfId="0" applyNumberFormat="1" applyBorder="1" applyAlignment="1">
      <alignment horizontal="left"/>
    </xf>
    <xf numFmtId="0" fontId="0" fillId="0" borderId="0" xfId="0" applyAlignment="1">
      <alignment vertical="top" wrapText="1"/>
    </xf>
    <xf numFmtId="9" fontId="0" fillId="0" borderId="12" xfId="0" applyNumberFormat="1" applyBorder="1" applyAlignment="1">
      <alignment horizontal="left"/>
    </xf>
    <xf numFmtId="0" fontId="10" fillId="0" borderId="1" xfId="0" applyFont="1" applyBorder="1" applyAlignment="1">
      <alignment horizontal="left"/>
    </xf>
    <xf numFmtId="0" fontId="1" fillId="0" borderId="0" xfId="1"/>
    <xf numFmtId="0" fontId="11" fillId="0" borderId="0" xfId="4"/>
    <xf numFmtId="165" fontId="3" fillId="0" borderId="2" xfId="1" applyNumberFormat="1" applyFont="1" applyBorder="1"/>
    <xf numFmtId="165" fontId="1" fillId="0" borderId="0" xfId="1" applyNumberFormat="1"/>
    <xf numFmtId="165" fontId="1" fillId="0" borderId="0" xfId="1" applyNumberFormat="1" applyBorder="1"/>
    <xf numFmtId="0" fontId="2" fillId="0" borderId="0" xfId="1" applyFont="1" applyBorder="1" applyAlignment="1">
      <alignment horizontal="left"/>
    </xf>
    <xf numFmtId="0" fontId="1" fillId="0" borderId="2" xfId="1" applyBorder="1" applyAlignment="1">
      <alignment horizontal="right" vertical="center"/>
    </xf>
    <xf numFmtId="0" fontId="1" fillId="0" borderId="3" xfId="1" applyBorder="1" applyAlignment="1">
      <alignment horizontal="right" vertical="center"/>
    </xf>
    <xf numFmtId="0" fontId="1" fillId="0" borderId="4" xfId="1" applyBorder="1" applyAlignment="1">
      <alignment horizontal="right" vertical="center"/>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5" xfId="1" applyFont="1" applyBorder="1" applyAlignment="1">
      <alignment horizontal="center"/>
    </xf>
    <xf numFmtId="0" fontId="3" fillId="0" borderId="6" xfId="1" applyFont="1" applyBorder="1" applyAlignment="1">
      <alignment horizontal="center"/>
    </xf>
    <xf numFmtId="0" fontId="1" fillId="0" borderId="0" xfId="1" applyAlignment="1">
      <alignment horizontal="left" vertical="top" wrapText="1"/>
    </xf>
    <xf numFmtId="0" fontId="2" fillId="0" borderId="0" xfId="1" applyFont="1" applyAlignment="1">
      <alignment horizontal="left" vertical="top" wrapText="1"/>
    </xf>
    <xf numFmtId="0" fontId="1" fillId="0" borderId="0" xfId="1" applyAlignment="1">
      <alignment horizontal="left" vertical="top"/>
    </xf>
    <xf numFmtId="0" fontId="1" fillId="0" borderId="0" xfId="1"/>
    <xf numFmtId="0" fontId="3" fillId="0" borderId="0" xfId="1" applyFont="1" applyAlignment="1">
      <alignment horizontal="left" vertical="top"/>
    </xf>
    <xf numFmtId="0" fontId="0" fillId="0" borderId="0" xfId="0" applyAlignment="1">
      <alignment horizontal="left" vertical="top" wrapText="1"/>
    </xf>
    <xf numFmtId="0" fontId="3" fillId="0" borderId="2" xfId="1" applyFont="1" applyBorder="1" applyAlignment="1">
      <alignment horizontal="center" vertical="center" wrapText="1"/>
    </xf>
    <xf numFmtId="0" fontId="3" fillId="0" borderId="3" xfId="1" applyFont="1" applyBorder="1" applyAlignment="1">
      <alignment horizontal="center" vertical="center" wrapText="1"/>
    </xf>
    <xf numFmtId="0" fontId="3" fillId="0" borderId="4" xfId="1" applyFont="1" applyBorder="1" applyAlignment="1">
      <alignment horizontal="center" vertical="center" wrapText="1"/>
    </xf>
    <xf numFmtId="164" fontId="1" fillId="0" borderId="2" xfId="1" applyNumberFormat="1" applyBorder="1" applyAlignment="1">
      <alignment horizontal="right" vertical="center"/>
    </xf>
    <xf numFmtId="164" fontId="1" fillId="0" borderId="3" xfId="1" applyNumberFormat="1" applyBorder="1" applyAlignment="1">
      <alignment horizontal="right" vertical="center"/>
    </xf>
    <xf numFmtId="164" fontId="1" fillId="0" borderId="4" xfId="1" applyNumberFormat="1" applyBorder="1" applyAlignment="1">
      <alignment horizontal="right" vertical="center"/>
    </xf>
    <xf numFmtId="165" fontId="1" fillId="0" borderId="2" xfId="1" applyNumberFormat="1" applyBorder="1" applyAlignment="1">
      <alignment horizontal="right" vertical="center"/>
    </xf>
    <xf numFmtId="165" fontId="1" fillId="0" borderId="3" xfId="1" applyNumberFormat="1" applyBorder="1" applyAlignment="1">
      <alignment horizontal="right" vertical="center"/>
    </xf>
    <xf numFmtId="165" fontId="1" fillId="0" borderId="4" xfId="1" applyNumberFormat="1" applyBorder="1" applyAlignment="1">
      <alignment horizontal="right" vertical="center"/>
    </xf>
    <xf numFmtId="165" fontId="1" fillId="0" borderId="13" xfId="1" applyNumberFormat="1" applyBorder="1" applyAlignment="1">
      <alignment horizontal="right" vertical="center" wrapText="1"/>
    </xf>
    <xf numFmtId="165" fontId="1" fillId="0" borderId="0" xfId="1" applyNumberFormat="1" applyBorder="1" applyAlignment="1">
      <alignment horizontal="right" vertical="center" wrapText="1"/>
    </xf>
    <xf numFmtId="165" fontId="1" fillId="0" borderId="14" xfId="1" applyNumberFormat="1" applyBorder="1" applyAlignment="1">
      <alignment horizontal="right" vertical="center" wrapText="1"/>
    </xf>
    <xf numFmtId="164" fontId="1" fillId="0" borderId="7" xfId="1" applyNumberFormat="1" applyBorder="1" applyAlignment="1">
      <alignment horizontal="right" vertical="center"/>
    </xf>
    <xf numFmtId="164" fontId="1" fillId="0" borderId="8" xfId="1" applyNumberFormat="1" applyBorder="1" applyAlignment="1">
      <alignment horizontal="right" vertical="center"/>
    </xf>
    <xf numFmtId="164" fontId="1" fillId="0" borderId="9" xfId="1" applyNumberFormat="1" applyBorder="1" applyAlignment="1">
      <alignment horizontal="right" vertical="center"/>
    </xf>
    <xf numFmtId="165" fontId="1" fillId="0" borderId="10" xfId="1" applyNumberFormat="1" applyBorder="1" applyAlignment="1">
      <alignment horizontal="right" vertical="center" wrapText="1"/>
    </xf>
    <xf numFmtId="165" fontId="1" fillId="0" borderId="11" xfId="1" applyNumberFormat="1" applyBorder="1" applyAlignment="1">
      <alignment horizontal="right" vertical="center" wrapText="1"/>
    </xf>
    <xf numFmtId="165" fontId="1" fillId="0" borderId="12" xfId="1" applyNumberFormat="1" applyBorder="1" applyAlignment="1">
      <alignment horizontal="right" vertical="center" wrapText="1"/>
    </xf>
    <xf numFmtId="164" fontId="1" fillId="0" borderId="10" xfId="1" applyNumberFormat="1" applyBorder="1" applyAlignment="1">
      <alignment horizontal="right" vertical="center"/>
    </xf>
    <xf numFmtId="164" fontId="1" fillId="0" borderId="11" xfId="1" applyNumberFormat="1" applyBorder="1" applyAlignment="1">
      <alignment horizontal="right" vertical="center"/>
    </xf>
    <xf numFmtId="164" fontId="1" fillId="0" borderId="12" xfId="1" applyNumberFormat="1" applyBorder="1" applyAlignment="1">
      <alignment horizontal="right" vertical="center"/>
    </xf>
    <xf numFmtId="0" fontId="2" fillId="0" borderId="0" xfId="1" applyFont="1" applyAlignment="1">
      <alignment horizontal="center"/>
    </xf>
    <xf numFmtId="0" fontId="9" fillId="0" borderId="0" xfId="0" applyFont="1" applyBorder="1" applyAlignment="1">
      <alignment horizontal="center" vertical="center"/>
    </xf>
    <xf numFmtId="165" fontId="1" fillId="0" borderId="13" xfId="1" applyNumberFormat="1" applyBorder="1" applyAlignment="1">
      <alignment horizontal="right" vertical="center"/>
    </xf>
    <xf numFmtId="165" fontId="1" fillId="0" borderId="0" xfId="1" applyNumberFormat="1" applyBorder="1" applyAlignment="1">
      <alignment horizontal="right" vertical="center"/>
    </xf>
    <xf numFmtId="165" fontId="1" fillId="0" borderId="14" xfId="1" applyNumberFormat="1" applyBorder="1" applyAlignment="1">
      <alignment horizontal="right" vertical="center"/>
    </xf>
    <xf numFmtId="165" fontId="1" fillId="0" borderId="10" xfId="1" applyNumberFormat="1" applyBorder="1" applyAlignment="1">
      <alignment horizontal="right" vertical="center"/>
    </xf>
    <xf numFmtId="165" fontId="1" fillId="0" borderId="11" xfId="1" applyNumberFormat="1" applyBorder="1" applyAlignment="1">
      <alignment horizontal="right" vertical="center"/>
    </xf>
    <xf numFmtId="165" fontId="1" fillId="0" borderId="12" xfId="1" applyNumberFormat="1" applyBorder="1" applyAlignment="1">
      <alignment horizontal="right" vertical="center"/>
    </xf>
    <xf numFmtId="165" fontId="1" fillId="0" borderId="7" xfId="1" applyNumberFormat="1" applyBorder="1" applyAlignment="1">
      <alignment horizontal="right" vertical="center"/>
    </xf>
    <xf numFmtId="165" fontId="1" fillId="0" borderId="8" xfId="1" applyNumberFormat="1" applyBorder="1" applyAlignment="1">
      <alignment horizontal="right" vertical="center"/>
    </xf>
    <xf numFmtId="165" fontId="1" fillId="0" borderId="9" xfId="1" applyNumberFormat="1" applyBorder="1" applyAlignment="1">
      <alignment horizontal="right" vertical="center"/>
    </xf>
  </cellXfs>
  <cellStyles count="5">
    <cellStyle name="Excel Built-in Normal" xfId="1"/>
    <cellStyle name="Gut" xfId="2" builtinId="26"/>
    <cellStyle name="Link" xfId="4" builtinId="8"/>
    <cellStyle name="Neutral" xfId="3" builtinId="2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de-DE" sz="2000"/>
              <a:t>Intel T265 Translation Test - Total position drift [%]</a:t>
            </a:r>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v>arithmetic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'Intel T265'!$D$72:$D$86</c15:sqref>
                  </c15:fullRef>
                </c:ext>
              </c:extLst>
              <c:f>('Intel T265'!$D$72,'Intel T265'!$D$75,'Intel T265'!$D$78,'Intel T265'!$D$81,'Intel T265'!$D$84)</c:f>
              <c:strCache>
                <c:ptCount val="5"/>
                <c:pt idx="0">
                  <c:v>Start/End</c:v>
                </c:pt>
                <c:pt idx="1">
                  <c:v>1. Corner</c:v>
                </c:pt>
                <c:pt idx="2">
                  <c:v>2. Corner</c:v>
                </c:pt>
                <c:pt idx="3">
                  <c:v>3. Corner</c:v>
                </c:pt>
                <c:pt idx="4">
                  <c:v>Start/End</c:v>
                </c:pt>
              </c:strCache>
            </c:strRef>
          </c:cat>
          <c:val>
            <c:numRef>
              <c:extLst>
                <c:ext xmlns:c15="http://schemas.microsoft.com/office/drawing/2012/chart" uri="{02D57815-91ED-43cb-92C2-25804820EDAC}">
                  <c15:fullRef>
                    <c15:sqref>'Intel T265'!$O$89:$O$103</c15:sqref>
                  </c15:fullRef>
                </c:ext>
              </c:extLst>
              <c:f>('Intel T265'!$O$89,'Intel T265'!$O$92,'Intel T265'!$O$95,'Intel T265'!$O$98,'Intel T265'!$O$101)</c:f>
              <c:numCache>
                <c:formatCode>0.0</c:formatCode>
                <c:ptCount val="5"/>
                <c:pt idx="0">
                  <c:v>0</c:v>
                </c:pt>
                <c:pt idx="1">
                  <c:v>14.157395921245639</c:v>
                </c:pt>
                <c:pt idx="2">
                  <c:v>14.807816261423735</c:v>
                </c:pt>
                <c:pt idx="3">
                  <c:v>18.718753832737022</c:v>
                </c:pt>
                <c:pt idx="4">
                  <c:v>0.36408755027748918</c:v>
                </c:pt>
              </c:numCache>
            </c:numRef>
          </c:val>
          <c:smooth val="0"/>
          <c:extLst xmlns:c16r2="http://schemas.microsoft.com/office/drawing/2015/06/chart">
            <c:ext xmlns:c16="http://schemas.microsoft.com/office/drawing/2014/chart" uri="{C3380CC4-5D6E-409C-BE32-E72D297353CC}">
              <c16:uniqueId val="{00000000-D38A-4466-8A4E-2ED4EB2CC08A}"/>
            </c:ext>
          </c:extLst>
        </c:ser>
        <c:ser>
          <c:idx val="1"/>
          <c:order val="1"/>
          <c:tx>
            <c:v>#1</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extLst>
                <c:ext xmlns:c15="http://schemas.microsoft.com/office/drawing/2012/chart" uri="{02D57815-91ED-43cb-92C2-25804820EDAC}">
                  <c15:fullRef>
                    <c15:sqref>'Intel T265'!$D$72:$D$86</c15:sqref>
                  </c15:fullRef>
                </c:ext>
              </c:extLst>
              <c:f>('Intel T265'!$D$72,'Intel T265'!$D$75,'Intel T265'!$D$78,'Intel T265'!$D$81,'Intel T265'!$D$84)</c:f>
              <c:strCache>
                <c:ptCount val="5"/>
                <c:pt idx="0">
                  <c:v>Start/End</c:v>
                </c:pt>
                <c:pt idx="1">
                  <c:v>1. Corner</c:v>
                </c:pt>
                <c:pt idx="2">
                  <c:v>2. Corner</c:v>
                </c:pt>
                <c:pt idx="3">
                  <c:v>3. Corner</c:v>
                </c:pt>
                <c:pt idx="4">
                  <c:v>Start/End</c:v>
                </c:pt>
              </c:strCache>
            </c:strRef>
          </c:cat>
          <c:val>
            <c:numRef>
              <c:extLst>
                <c:ext xmlns:c15="http://schemas.microsoft.com/office/drawing/2012/chart" uri="{02D57815-91ED-43cb-92C2-25804820EDAC}">
                  <c15:fullRef>
                    <c15:sqref>'Intel T265'!$O$38:$O$52</c15:sqref>
                  </c15:fullRef>
                </c:ext>
              </c:extLst>
              <c:f>('Intel T265'!$O$38,'Intel T265'!$O$41,'Intel T265'!$O$44,'Intel T265'!$O$47,'Intel T265'!$O$50)</c:f>
              <c:numCache>
                <c:formatCode>0.0</c:formatCode>
                <c:ptCount val="5"/>
                <c:pt idx="0">
                  <c:v>0</c:v>
                </c:pt>
                <c:pt idx="1">
                  <c:v>20.708659380830277</c:v>
                </c:pt>
                <c:pt idx="2">
                  <c:v>21.294160517766102</c:v>
                </c:pt>
                <c:pt idx="3">
                  <c:v>24.786550328943513</c:v>
                </c:pt>
                <c:pt idx="4">
                  <c:v>0.29495164532329227</c:v>
                </c:pt>
              </c:numCache>
            </c:numRef>
          </c:val>
          <c:smooth val="0"/>
          <c:extLst xmlns:c16r2="http://schemas.microsoft.com/office/drawing/2015/06/chart">
            <c:ext xmlns:c16="http://schemas.microsoft.com/office/drawing/2014/chart" uri="{C3380CC4-5D6E-409C-BE32-E72D297353CC}">
              <c16:uniqueId val="{00000001-D38A-4466-8A4E-2ED4EB2CC08A}"/>
            </c:ext>
          </c:extLst>
        </c:ser>
        <c:ser>
          <c:idx val="2"/>
          <c:order val="2"/>
          <c:tx>
            <c:v>#2</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extLst>
                <c:ext xmlns:c15="http://schemas.microsoft.com/office/drawing/2012/chart" uri="{02D57815-91ED-43cb-92C2-25804820EDAC}">
                  <c15:fullRef>
                    <c15:sqref>'Intel T265'!$D$72:$D$86</c15:sqref>
                  </c15:fullRef>
                </c:ext>
              </c:extLst>
              <c:f>('Intel T265'!$D$72,'Intel T265'!$D$75,'Intel T265'!$D$78,'Intel T265'!$D$81,'Intel T265'!$D$84)</c:f>
              <c:strCache>
                <c:ptCount val="5"/>
                <c:pt idx="0">
                  <c:v>Start/End</c:v>
                </c:pt>
                <c:pt idx="1">
                  <c:v>1. Corner</c:v>
                </c:pt>
                <c:pt idx="2">
                  <c:v>2. Corner</c:v>
                </c:pt>
                <c:pt idx="3">
                  <c:v>3. Corner</c:v>
                </c:pt>
                <c:pt idx="4">
                  <c:v>Start/End</c:v>
                </c:pt>
              </c:strCache>
            </c:strRef>
          </c:cat>
          <c:val>
            <c:numRef>
              <c:extLst>
                <c:ext xmlns:c15="http://schemas.microsoft.com/office/drawing/2012/chart" uri="{02D57815-91ED-43cb-92C2-25804820EDAC}">
                  <c15:fullRef>
                    <c15:sqref>'Intel T265'!$O$55:$O$69</c15:sqref>
                  </c15:fullRef>
                </c:ext>
              </c:extLst>
              <c:f>('Intel T265'!$O$55,'Intel T265'!$O$58,'Intel T265'!$O$61,'Intel T265'!$O$64,'Intel T265'!$O$67)</c:f>
              <c:numCache>
                <c:formatCode>0.0</c:formatCode>
                <c:ptCount val="5"/>
                <c:pt idx="0">
                  <c:v>0</c:v>
                </c:pt>
                <c:pt idx="1">
                  <c:v>9.6118147854931575</c:v>
                </c:pt>
                <c:pt idx="2">
                  <c:v>10.309760144114245</c:v>
                </c:pt>
                <c:pt idx="3">
                  <c:v>17.55291961050586</c:v>
                </c:pt>
                <c:pt idx="4">
                  <c:v>1.2937677538485106</c:v>
                </c:pt>
              </c:numCache>
            </c:numRef>
          </c:val>
          <c:smooth val="0"/>
          <c:extLst xmlns:c16r2="http://schemas.microsoft.com/office/drawing/2015/06/chart">
            <c:ext xmlns:c16="http://schemas.microsoft.com/office/drawing/2014/chart" uri="{C3380CC4-5D6E-409C-BE32-E72D297353CC}">
              <c16:uniqueId val="{00000002-D38A-4466-8A4E-2ED4EB2CC08A}"/>
            </c:ext>
          </c:extLst>
        </c:ser>
        <c:ser>
          <c:idx val="3"/>
          <c:order val="3"/>
          <c:tx>
            <c:v>#3</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extLst>
                <c:ext xmlns:c15="http://schemas.microsoft.com/office/drawing/2012/chart" uri="{02D57815-91ED-43cb-92C2-25804820EDAC}">
                  <c15:fullRef>
                    <c15:sqref>'Intel T265'!$D$72:$D$86</c15:sqref>
                  </c15:fullRef>
                </c:ext>
              </c:extLst>
              <c:f>('Intel T265'!$D$72,'Intel T265'!$D$75,'Intel T265'!$D$78,'Intel T265'!$D$81,'Intel T265'!$D$84)</c:f>
              <c:strCache>
                <c:ptCount val="5"/>
                <c:pt idx="0">
                  <c:v>Start/End</c:v>
                </c:pt>
                <c:pt idx="1">
                  <c:v>1. Corner</c:v>
                </c:pt>
                <c:pt idx="2">
                  <c:v>2. Corner</c:v>
                </c:pt>
                <c:pt idx="3">
                  <c:v>3. Corner</c:v>
                </c:pt>
                <c:pt idx="4">
                  <c:v>Start/End</c:v>
                </c:pt>
              </c:strCache>
            </c:strRef>
          </c:cat>
          <c:val>
            <c:numRef>
              <c:extLst>
                <c:ext xmlns:c15="http://schemas.microsoft.com/office/drawing/2012/chart" uri="{02D57815-91ED-43cb-92C2-25804820EDAC}">
                  <c15:fullRef>
                    <c15:sqref>'Intel T265'!$O$72:$O$86</c15:sqref>
                  </c15:fullRef>
                </c:ext>
              </c:extLst>
              <c:f>('Intel T265'!$O$72,'Intel T265'!$O$75,'Intel T265'!$O$78,'Intel T265'!$O$81,'Intel T265'!$O$84)</c:f>
              <c:numCache>
                <c:formatCode>0.0</c:formatCode>
                <c:ptCount val="5"/>
                <c:pt idx="0">
                  <c:v>0</c:v>
                </c:pt>
                <c:pt idx="1">
                  <c:v>18.541927452634202</c:v>
                </c:pt>
                <c:pt idx="2">
                  <c:v>17.142753088692544</c:v>
                </c:pt>
                <c:pt idx="3">
                  <c:v>19.6258631189868</c:v>
                </c:pt>
                <c:pt idx="4">
                  <c:v>0.53345118411465864</c:v>
                </c:pt>
              </c:numCache>
            </c:numRef>
          </c:val>
          <c:smooth val="0"/>
          <c:extLst xmlns:c16r2="http://schemas.microsoft.com/office/drawing/2015/06/chart">
            <c:ext xmlns:c16="http://schemas.microsoft.com/office/drawing/2014/chart" uri="{C3380CC4-5D6E-409C-BE32-E72D297353CC}">
              <c16:uniqueId val="{00000003-D38A-4466-8A4E-2ED4EB2CC08A}"/>
            </c:ext>
          </c:extLst>
        </c:ser>
        <c:dLbls>
          <c:showLegendKey val="0"/>
          <c:showVal val="0"/>
          <c:showCatName val="0"/>
          <c:showSerName val="0"/>
          <c:showPercent val="0"/>
          <c:showBubbleSize val="0"/>
        </c:dLbls>
        <c:marker val="1"/>
        <c:smooth val="0"/>
        <c:axId val="427894600"/>
        <c:axId val="427892640"/>
      </c:lineChart>
      <c:catAx>
        <c:axId val="427894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7892640"/>
        <c:crosses val="autoZero"/>
        <c:auto val="1"/>
        <c:lblAlgn val="ctr"/>
        <c:lblOffset val="100"/>
        <c:noMultiLvlLbl val="0"/>
      </c:catAx>
      <c:valAx>
        <c:axId val="427892640"/>
        <c:scaling>
          <c:orientation val="minMax"/>
          <c:max val="3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7894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ysClr val="windowText" lastClr="000000">
                    <a:lumMod val="65000"/>
                    <a:lumOff val="35000"/>
                  </a:sysClr>
                </a:solidFill>
                <a:latin typeface="+mn-lt"/>
                <a:ea typeface="+mn-ea"/>
                <a:cs typeface="+mn-cs"/>
              </a:defRPr>
            </a:pPr>
            <a:r>
              <a:rPr lang="de-DE" sz="2000" b="0" i="0" baseline="0">
                <a:effectLst/>
              </a:rPr>
              <a:t>Intel T265 Loop Correction Test - Total position drift [%]</a:t>
            </a:r>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ysClr val="windowText" lastClr="000000">
                  <a:lumMod val="65000"/>
                  <a:lumOff val="35000"/>
                </a:sysClr>
              </a:solidFill>
              <a:latin typeface="+mn-lt"/>
              <a:ea typeface="+mn-ea"/>
              <a:cs typeface="+mn-cs"/>
            </a:defRPr>
          </a:pPr>
          <a:endParaRPr lang="de-DE"/>
        </a:p>
      </c:txPr>
    </c:title>
    <c:autoTitleDeleted val="0"/>
    <c:plotArea>
      <c:layout/>
      <c:lineChart>
        <c:grouping val="standard"/>
        <c:varyColors val="0"/>
        <c:ser>
          <c:idx val="0"/>
          <c:order val="0"/>
          <c:tx>
            <c:v>#1</c:v>
          </c:tx>
          <c:spPr>
            <a:ln w="28575" cap="rnd">
              <a:solidFill>
                <a:schemeClr val="accent1"/>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T265'!$D$110,'Intel T265'!$D$116,'Intel T265'!$D$122,'Intel T265'!$D$128,'Intel T265'!$D$134,'Intel T265'!$D$140,'Intel T265'!$D$146,'Intel T265'!$D$152,'Intel T265'!$D$157)</c:f>
              <c:strCache>
                <c:ptCount val="9"/>
                <c:pt idx="0">
                  <c:v>Start/End</c:v>
                </c:pt>
                <c:pt idx="1">
                  <c:v>1. Corner</c:v>
                </c:pt>
                <c:pt idx="2">
                  <c:v>2. Corner</c:v>
                </c:pt>
                <c:pt idx="3">
                  <c:v>3. Corner</c:v>
                </c:pt>
                <c:pt idx="4">
                  <c:v>Start/End</c:v>
                </c:pt>
                <c:pt idx="5">
                  <c:v>1. Corner</c:v>
                </c:pt>
                <c:pt idx="6">
                  <c:v>2. Corner</c:v>
                </c:pt>
                <c:pt idx="7">
                  <c:v>3. Corner</c:v>
                </c:pt>
                <c:pt idx="8">
                  <c:v>Start/End</c:v>
                </c:pt>
              </c:strCache>
            </c:strRef>
          </c:cat>
          <c:val>
            <c:numRef>
              <c:extLst>
                <c:ext xmlns:c15="http://schemas.microsoft.com/office/drawing/2012/chart" uri="{02D57815-91ED-43cb-92C2-25804820EDAC}">
                  <c15:fullRef>
                    <c15:sqref>'Intel T265'!$O$107:$O$157</c15:sqref>
                  </c15:fullRef>
                </c:ext>
              </c:extLst>
              <c:f>('Intel T265'!$O$107,'Intel T265'!$O$110,'Intel T265'!$O$116,'Intel T265'!$O$122,'Intel T265'!$O$128,'Intel T265'!$O$134,'Intel T265'!$O$140,'Intel T265'!$O$146,'Intel T265'!$O$152,'Intel T265'!$O$157)</c:f>
              <c:numCache>
                <c:formatCode>0.0</c:formatCode>
                <c:ptCount val="10"/>
                <c:pt idx="0">
                  <c:v>0</c:v>
                </c:pt>
                <c:pt idx="1">
                  <c:v>11.690584107680422</c:v>
                </c:pt>
                <c:pt idx="2">
                  <c:v>12.920857048425944</c:v>
                </c:pt>
                <c:pt idx="3">
                  <c:v>15.440275373889062</c:v>
                </c:pt>
                <c:pt idx="4">
                  <c:v>13.108313506008423</c:v>
                </c:pt>
                <c:pt idx="5">
                  <c:v>11.30158959076665</c:v>
                </c:pt>
                <c:pt idx="6">
                  <c:v>12.805459520079379</c:v>
                </c:pt>
                <c:pt idx="7">
                  <c:v>15.968960721737851</c:v>
                </c:pt>
                <c:pt idx="8">
                  <c:v>2.7440183227441408</c:v>
                </c:pt>
              </c:numCache>
            </c:numRef>
          </c:val>
          <c:smooth val="0"/>
          <c:extLst xmlns:c16r2="http://schemas.microsoft.com/office/drawing/2015/06/chart">
            <c:ext xmlns:c16="http://schemas.microsoft.com/office/drawing/2014/chart" uri="{C3380CC4-5D6E-409C-BE32-E72D297353CC}">
              <c16:uniqueId val="{00000000-AAA4-4388-B814-CEFFECD8604E}"/>
            </c:ext>
          </c:extLst>
        </c:ser>
        <c:ser>
          <c:idx val="1"/>
          <c:order val="1"/>
          <c:tx>
            <c:v>#2</c:v>
          </c:tx>
          <c:spPr>
            <a:ln w="28575" cap="rnd">
              <a:solidFill>
                <a:schemeClr val="accent2"/>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T265'!$D$110,'Intel T265'!$D$116,'Intel T265'!$D$122,'Intel T265'!$D$128,'Intel T265'!$D$134,'Intel T265'!$D$140,'Intel T265'!$D$146,'Intel T265'!$D$152,'Intel T265'!$D$157)</c:f>
              <c:strCache>
                <c:ptCount val="9"/>
                <c:pt idx="0">
                  <c:v>Start/End</c:v>
                </c:pt>
                <c:pt idx="1">
                  <c:v>1. Corner</c:v>
                </c:pt>
                <c:pt idx="2">
                  <c:v>2. Corner</c:v>
                </c:pt>
                <c:pt idx="3">
                  <c:v>3. Corner</c:v>
                </c:pt>
                <c:pt idx="4">
                  <c:v>Start/End</c:v>
                </c:pt>
                <c:pt idx="5">
                  <c:v>1. Corner</c:v>
                </c:pt>
                <c:pt idx="6">
                  <c:v>2. Corner</c:v>
                </c:pt>
                <c:pt idx="7">
                  <c:v>3. Corner</c:v>
                </c:pt>
                <c:pt idx="8">
                  <c:v>Start/End</c:v>
                </c:pt>
              </c:strCache>
            </c:strRef>
          </c:cat>
          <c:val>
            <c:numRef>
              <c:extLst>
                <c:ext xmlns:c15="http://schemas.microsoft.com/office/drawing/2012/chart" uri="{02D57815-91ED-43cb-92C2-25804820EDAC}">
                  <c15:fullRef>
                    <c15:sqref>'Intel T265'!$O$160:$O$210</c15:sqref>
                  </c15:fullRef>
                </c:ext>
              </c:extLst>
              <c:f>('Intel T265'!$O$160,'Intel T265'!$O$163,'Intel T265'!$O$169,'Intel T265'!$O$175,'Intel T265'!$O$181,'Intel T265'!$O$187,'Intel T265'!$O$193,'Intel T265'!$O$199,'Intel T265'!$O$205,'Intel T265'!$O$210)</c:f>
              <c:numCache>
                <c:formatCode>0.0</c:formatCode>
                <c:ptCount val="10"/>
                <c:pt idx="0">
                  <c:v>0</c:v>
                </c:pt>
                <c:pt idx="1">
                  <c:v>15.931584857877446</c:v>
                </c:pt>
                <c:pt idx="2">
                  <c:v>19.117352633100701</c:v>
                </c:pt>
                <c:pt idx="3">
                  <c:v>26.944210697772121</c:v>
                </c:pt>
                <c:pt idx="4">
                  <c:v>6.7687269938461956</c:v>
                </c:pt>
                <c:pt idx="5">
                  <c:v>14.415905231570619</c:v>
                </c:pt>
                <c:pt idx="6">
                  <c:v>19.064487411189205</c:v>
                </c:pt>
                <c:pt idx="7">
                  <c:v>23.869916431096382</c:v>
                </c:pt>
                <c:pt idx="8">
                  <c:v>5.2630984102364406</c:v>
                </c:pt>
              </c:numCache>
            </c:numRef>
          </c:val>
          <c:smooth val="0"/>
          <c:extLst xmlns:c16r2="http://schemas.microsoft.com/office/drawing/2015/06/chart">
            <c:ext xmlns:c16="http://schemas.microsoft.com/office/drawing/2014/chart" uri="{C3380CC4-5D6E-409C-BE32-E72D297353CC}">
              <c16:uniqueId val="{00000001-AAA4-4388-B814-CEFFECD8604E}"/>
            </c:ext>
          </c:extLst>
        </c:ser>
        <c:ser>
          <c:idx val="2"/>
          <c:order val="2"/>
          <c:tx>
            <c:v>#3</c:v>
          </c:tx>
          <c:spPr>
            <a:ln w="28575" cap="rnd">
              <a:solidFill>
                <a:schemeClr val="accent3"/>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T265'!$D$110,'Intel T265'!$D$116,'Intel T265'!$D$122,'Intel T265'!$D$128,'Intel T265'!$D$134,'Intel T265'!$D$140,'Intel T265'!$D$146,'Intel T265'!$D$152,'Intel T265'!$D$157)</c:f>
              <c:strCache>
                <c:ptCount val="9"/>
                <c:pt idx="0">
                  <c:v>Start/End</c:v>
                </c:pt>
                <c:pt idx="1">
                  <c:v>1. Corner</c:v>
                </c:pt>
                <c:pt idx="2">
                  <c:v>2. Corner</c:v>
                </c:pt>
                <c:pt idx="3">
                  <c:v>3. Corner</c:v>
                </c:pt>
                <c:pt idx="4">
                  <c:v>Start/End</c:v>
                </c:pt>
                <c:pt idx="5">
                  <c:v>1. Corner</c:v>
                </c:pt>
                <c:pt idx="6">
                  <c:v>2. Corner</c:v>
                </c:pt>
                <c:pt idx="7">
                  <c:v>3. Corner</c:v>
                </c:pt>
                <c:pt idx="8">
                  <c:v>Start/End</c:v>
                </c:pt>
              </c:strCache>
            </c:strRef>
          </c:cat>
          <c:val>
            <c:numRef>
              <c:extLst>
                <c:ext xmlns:c15="http://schemas.microsoft.com/office/drawing/2012/chart" uri="{02D57815-91ED-43cb-92C2-25804820EDAC}">
                  <c15:fullRef>
                    <c15:sqref>'Intel T265'!$O$213:$O$263</c15:sqref>
                  </c15:fullRef>
                </c:ext>
              </c:extLst>
              <c:f>('Intel T265'!$O$213,'Intel T265'!$O$216,'Intel T265'!$O$222,'Intel T265'!$O$228,'Intel T265'!$O$234,'Intel T265'!$O$240,'Intel T265'!$O$246,'Intel T265'!$O$252,'Intel T265'!$O$258,'Intel T265'!$O$263)</c:f>
              <c:numCache>
                <c:formatCode>0.0</c:formatCode>
                <c:ptCount val="10"/>
                <c:pt idx="0">
                  <c:v>0</c:v>
                </c:pt>
                <c:pt idx="1">
                  <c:v>8.2876757833544588</c:v>
                </c:pt>
                <c:pt idx="2">
                  <c:v>10.825270402786586</c:v>
                </c:pt>
                <c:pt idx="3">
                  <c:v>16.389113902093097</c:v>
                </c:pt>
                <c:pt idx="4">
                  <c:v>26.911239008539194</c:v>
                </c:pt>
                <c:pt idx="5">
                  <c:v>9.3955151362565026</c:v>
                </c:pt>
                <c:pt idx="6">
                  <c:v>38.17126286819051</c:v>
                </c:pt>
                <c:pt idx="7">
                  <c:v>62.408927334406648</c:v>
                </c:pt>
                <c:pt idx="8">
                  <c:v>3.0319194003139329</c:v>
                </c:pt>
              </c:numCache>
            </c:numRef>
          </c:val>
          <c:smooth val="0"/>
          <c:extLst xmlns:c16r2="http://schemas.microsoft.com/office/drawing/2015/06/chart">
            <c:ext xmlns:c16="http://schemas.microsoft.com/office/drawing/2014/chart" uri="{C3380CC4-5D6E-409C-BE32-E72D297353CC}">
              <c16:uniqueId val="{00000002-AAA4-4388-B814-CEFFECD8604E}"/>
            </c:ext>
          </c:extLst>
        </c:ser>
        <c:ser>
          <c:idx val="3"/>
          <c:order val="3"/>
          <c:tx>
            <c:v>arithmetic</c:v>
          </c:tx>
          <c:spPr>
            <a:ln w="28575" cap="rnd">
              <a:solidFill>
                <a:schemeClr val="accent4"/>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T265'!$D$110,'Intel T265'!$D$116,'Intel T265'!$D$122,'Intel T265'!$D$128,'Intel T265'!$D$134,'Intel T265'!$D$140,'Intel T265'!$D$146,'Intel T265'!$D$152,'Intel T265'!$D$157)</c:f>
              <c:strCache>
                <c:ptCount val="9"/>
                <c:pt idx="0">
                  <c:v>Start/End</c:v>
                </c:pt>
                <c:pt idx="1">
                  <c:v>1. Corner</c:v>
                </c:pt>
                <c:pt idx="2">
                  <c:v>2. Corner</c:v>
                </c:pt>
                <c:pt idx="3">
                  <c:v>3. Corner</c:v>
                </c:pt>
                <c:pt idx="4">
                  <c:v>Start/End</c:v>
                </c:pt>
                <c:pt idx="5">
                  <c:v>1. Corner</c:v>
                </c:pt>
                <c:pt idx="6">
                  <c:v>2. Corner</c:v>
                </c:pt>
                <c:pt idx="7">
                  <c:v>3. Corner</c:v>
                </c:pt>
                <c:pt idx="8">
                  <c:v>Start/End</c:v>
                </c:pt>
              </c:strCache>
            </c:strRef>
          </c:cat>
          <c:val>
            <c:numRef>
              <c:extLst>
                <c:ext xmlns:c15="http://schemas.microsoft.com/office/drawing/2012/chart" uri="{02D57815-91ED-43cb-92C2-25804820EDAC}">
                  <c15:fullRef>
                    <c15:sqref>'Intel T265'!$O$266:$O$316</c15:sqref>
                  </c15:fullRef>
                </c:ext>
              </c:extLst>
              <c:f>('Intel T265'!$O$266,'Intel T265'!$O$269,'Intel T265'!$O$275,'Intel T265'!$O$281,'Intel T265'!$O$287,'Intel T265'!$O$293,'Intel T265'!$O$299,'Intel T265'!$O$305,'Intel T265'!$O$311,'Intel T265'!$O$316)</c:f>
              <c:numCache>
                <c:formatCode>0.0</c:formatCode>
                <c:ptCount val="10"/>
                <c:pt idx="0">
                  <c:v>0</c:v>
                </c:pt>
                <c:pt idx="1">
                  <c:v>11.730453226579625</c:v>
                </c:pt>
                <c:pt idx="2">
                  <c:v>14.194313988340499</c:v>
                </c:pt>
                <c:pt idx="3">
                  <c:v>19.188026941321539</c:v>
                </c:pt>
                <c:pt idx="4">
                  <c:v>11.677487263049695</c:v>
                </c:pt>
                <c:pt idx="5">
                  <c:v>11.353167378463286</c:v>
                </c:pt>
                <c:pt idx="6">
                  <c:v>22.205881330241716</c:v>
                </c:pt>
                <c:pt idx="7">
                  <c:v>32.981667218385184</c:v>
                </c:pt>
                <c:pt idx="8">
                  <c:v>3.5605515770898917</c:v>
                </c:pt>
              </c:numCache>
            </c:numRef>
          </c:val>
          <c:smooth val="0"/>
          <c:extLst xmlns:c16r2="http://schemas.microsoft.com/office/drawing/2015/06/chart">
            <c:ext xmlns:c16="http://schemas.microsoft.com/office/drawing/2014/chart" uri="{C3380CC4-5D6E-409C-BE32-E72D297353CC}">
              <c16:uniqueId val="{00000003-AAA4-4388-B814-CEFFECD8604E}"/>
            </c:ext>
          </c:extLst>
        </c:ser>
        <c:dLbls>
          <c:showLegendKey val="0"/>
          <c:showVal val="0"/>
          <c:showCatName val="0"/>
          <c:showSerName val="0"/>
          <c:showPercent val="0"/>
          <c:showBubbleSize val="0"/>
        </c:dLbls>
        <c:smooth val="0"/>
        <c:axId val="427893032"/>
        <c:axId val="427894992"/>
      </c:lineChart>
      <c:catAx>
        <c:axId val="4278930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7894992"/>
        <c:crosses val="autoZero"/>
        <c:auto val="1"/>
        <c:lblAlgn val="ctr"/>
        <c:lblOffset val="100"/>
        <c:noMultiLvlLbl val="0"/>
      </c:catAx>
      <c:valAx>
        <c:axId val="4278949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7893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de-DE" sz="2000"/>
              <a:t>Zed Mini Translation Test - Total position drift [%]</a:t>
            </a:r>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v>arithmetic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'Intel T265'!$D$72:$D$86</c15:sqref>
                  </c15:fullRef>
                </c:ext>
              </c:extLst>
              <c:f>('Intel T265'!$D$72,'Intel T265'!$D$75,'Intel T265'!$D$78,'Intel T265'!$D$81,'Intel T265'!$D$84)</c:f>
              <c:strCache>
                <c:ptCount val="5"/>
                <c:pt idx="0">
                  <c:v>Start/End</c:v>
                </c:pt>
                <c:pt idx="1">
                  <c:v>1. Corner</c:v>
                </c:pt>
                <c:pt idx="2">
                  <c:v>2. Corner</c:v>
                </c:pt>
                <c:pt idx="3">
                  <c:v>3. Corner</c:v>
                </c:pt>
                <c:pt idx="4">
                  <c:v>Start/End</c:v>
                </c:pt>
              </c:strCache>
            </c:strRef>
          </c:cat>
          <c:val>
            <c:numRef>
              <c:extLst>
                <c:ext xmlns:c15="http://schemas.microsoft.com/office/drawing/2012/chart" uri="{02D57815-91ED-43cb-92C2-25804820EDAC}">
                  <c15:fullRef>
                    <c15:sqref>'Zed Mini'!$O$89:$O$103</c15:sqref>
                  </c15:fullRef>
                </c:ext>
              </c:extLst>
              <c:f>('Zed Mini'!$O$89,'Zed Mini'!$O$92,'Zed Mini'!$O$95,'Zed Mini'!$O$98,'Zed Mini'!$O$101)</c:f>
              <c:numCache>
                <c:formatCode>0.0</c:formatCode>
                <c:ptCount val="5"/>
                <c:pt idx="0">
                  <c:v>0</c:v>
                </c:pt>
                <c:pt idx="1">
                  <c:v>4.8658138596187941</c:v>
                </c:pt>
                <c:pt idx="2">
                  <c:v>13.396589177405547</c:v>
                </c:pt>
                <c:pt idx="3">
                  <c:v>28.150422776396191</c:v>
                </c:pt>
                <c:pt idx="4">
                  <c:v>30.927093072368383</c:v>
                </c:pt>
              </c:numCache>
            </c:numRef>
          </c:val>
          <c:smooth val="0"/>
          <c:extLst xmlns:c16r2="http://schemas.microsoft.com/office/drawing/2015/06/chart">
            <c:ext xmlns:c16="http://schemas.microsoft.com/office/drawing/2014/chart" uri="{C3380CC4-5D6E-409C-BE32-E72D297353CC}">
              <c16:uniqueId val="{00000000-8C9E-4AF1-A2E9-E38D445D80E5}"/>
            </c:ext>
          </c:extLst>
        </c:ser>
        <c:ser>
          <c:idx val="1"/>
          <c:order val="1"/>
          <c:tx>
            <c:v>#1</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extLst>
                <c:ext xmlns:c15="http://schemas.microsoft.com/office/drawing/2012/chart" uri="{02D57815-91ED-43cb-92C2-25804820EDAC}">
                  <c15:fullRef>
                    <c15:sqref>'Intel T265'!$D$72:$D$86</c15:sqref>
                  </c15:fullRef>
                </c:ext>
              </c:extLst>
              <c:f>('Intel T265'!$D$72,'Intel T265'!$D$75,'Intel T265'!$D$78,'Intel T265'!$D$81,'Intel T265'!$D$84)</c:f>
              <c:strCache>
                <c:ptCount val="5"/>
                <c:pt idx="0">
                  <c:v>Start/End</c:v>
                </c:pt>
                <c:pt idx="1">
                  <c:v>1. Corner</c:v>
                </c:pt>
                <c:pt idx="2">
                  <c:v>2. Corner</c:v>
                </c:pt>
                <c:pt idx="3">
                  <c:v>3. Corner</c:v>
                </c:pt>
                <c:pt idx="4">
                  <c:v>Start/End</c:v>
                </c:pt>
              </c:strCache>
            </c:strRef>
          </c:cat>
          <c:val>
            <c:numRef>
              <c:extLst>
                <c:ext xmlns:c15="http://schemas.microsoft.com/office/drawing/2012/chart" uri="{02D57815-91ED-43cb-92C2-25804820EDAC}">
                  <c15:fullRef>
                    <c15:sqref>'Zed Mini'!$O$38:$O$52</c15:sqref>
                  </c15:fullRef>
                </c:ext>
              </c:extLst>
              <c:f>('Zed Mini'!$O$38,'Zed Mini'!$O$41,'Zed Mini'!$O$44,'Zed Mini'!$O$47,'Zed Mini'!$O$50)</c:f>
              <c:numCache>
                <c:formatCode>0.0</c:formatCode>
                <c:ptCount val="5"/>
                <c:pt idx="0">
                  <c:v>0</c:v>
                </c:pt>
                <c:pt idx="1">
                  <c:v>9.5612691444768547</c:v>
                </c:pt>
                <c:pt idx="2">
                  <c:v>14.758709619887354</c:v>
                </c:pt>
                <c:pt idx="3">
                  <c:v>32.304059658774896</c:v>
                </c:pt>
                <c:pt idx="4">
                  <c:v>31.742402901694629</c:v>
                </c:pt>
              </c:numCache>
            </c:numRef>
          </c:val>
          <c:smooth val="0"/>
          <c:extLst xmlns:c16r2="http://schemas.microsoft.com/office/drawing/2015/06/chart">
            <c:ext xmlns:c16="http://schemas.microsoft.com/office/drawing/2014/chart" uri="{C3380CC4-5D6E-409C-BE32-E72D297353CC}">
              <c16:uniqueId val="{00000001-8C9E-4AF1-A2E9-E38D445D80E5}"/>
            </c:ext>
          </c:extLst>
        </c:ser>
        <c:ser>
          <c:idx val="2"/>
          <c:order val="2"/>
          <c:tx>
            <c:v>#2</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extLst>
                <c:ext xmlns:c15="http://schemas.microsoft.com/office/drawing/2012/chart" uri="{02D57815-91ED-43cb-92C2-25804820EDAC}">
                  <c15:fullRef>
                    <c15:sqref>'Intel T265'!$D$72:$D$86</c15:sqref>
                  </c15:fullRef>
                </c:ext>
              </c:extLst>
              <c:f>('Intel T265'!$D$72,'Intel T265'!$D$75,'Intel T265'!$D$78,'Intel T265'!$D$81,'Intel T265'!$D$84)</c:f>
              <c:strCache>
                <c:ptCount val="5"/>
                <c:pt idx="0">
                  <c:v>Start/End</c:v>
                </c:pt>
                <c:pt idx="1">
                  <c:v>1. Corner</c:v>
                </c:pt>
                <c:pt idx="2">
                  <c:v>2. Corner</c:v>
                </c:pt>
                <c:pt idx="3">
                  <c:v>3. Corner</c:v>
                </c:pt>
                <c:pt idx="4">
                  <c:v>Start/End</c:v>
                </c:pt>
              </c:strCache>
            </c:strRef>
          </c:cat>
          <c:val>
            <c:numRef>
              <c:extLst>
                <c:ext xmlns:c15="http://schemas.microsoft.com/office/drawing/2012/chart" uri="{02D57815-91ED-43cb-92C2-25804820EDAC}">
                  <c15:fullRef>
                    <c15:sqref>'Zed Mini'!$O$55:$O$69</c15:sqref>
                  </c15:fullRef>
                </c:ext>
              </c:extLst>
              <c:f>('Zed Mini'!$O$55,'Zed Mini'!$O$58,'Zed Mini'!$O$61,'Zed Mini'!$O$64,'Zed Mini'!$O$67)</c:f>
              <c:numCache>
                <c:formatCode>0.0</c:formatCode>
                <c:ptCount val="5"/>
                <c:pt idx="0">
                  <c:v>0</c:v>
                </c:pt>
                <c:pt idx="1">
                  <c:v>2.0710392942011038</c:v>
                </c:pt>
                <c:pt idx="2">
                  <c:v>11.128396241253476</c:v>
                </c:pt>
                <c:pt idx="3">
                  <c:v>23.205535884026819</c:v>
                </c:pt>
                <c:pt idx="4">
                  <c:v>32.306314125337074</c:v>
                </c:pt>
              </c:numCache>
            </c:numRef>
          </c:val>
          <c:smooth val="0"/>
          <c:extLst xmlns:c16r2="http://schemas.microsoft.com/office/drawing/2015/06/chart">
            <c:ext xmlns:c16="http://schemas.microsoft.com/office/drawing/2014/chart" uri="{C3380CC4-5D6E-409C-BE32-E72D297353CC}">
              <c16:uniqueId val="{00000002-8C9E-4AF1-A2E9-E38D445D80E5}"/>
            </c:ext>
          </c:extLst>
        </c:ser>
        <c:ser>
          <c:idx val="3"/>
          <c:order val="3"/>
          <c:tx>
            <c:v>#3</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extLst>
                <c:ext xmlns:c15="http://schemas.microsoft.com/office/drawing/2012/chart" uri="{02D57815-91ED-43cb-92C2-25804820EDAC}">
                  <c15:fullRef>
                    <c15:sqref>'Intel T265'!$D$72:$D$86</c15:sqref>
                  </c15:fullRef>
                </c:ext>
              </c:extLst>
              <c:f>('Intel T265'!$D$72,'Intel T265'!$D$75,'Intel T265'!$D$78,'Intel T265'!$D$81,'Intel T265'!$D$84)</c:f>
              <c:strCache>
                <c:ptCount val="5"/>
                <c:pt idx="0">
                  <c:v>Start/End</c:v>
                </c:pt>
                <c:pt idx="1">
                  <c:v>1. Corner</c:v>
                </c:pt>
                <c:pt idx="2">
                  <c:v>2. Corner</c:v>
                </c:pt>
                <c:pt idx="3">
                  <c:v>3. Corner</c:v>
                </c:pt>
                <c:pt idx="4">
                  <c:v>Start/End</c:v>
                </c:pt>
              </c:strCache>
            </c:strRef>
          </c:cat>
          <c:val>
            <c:numRef>
              <c:extLst>
                <c:ext xmlns:c15="http://schemas.microsoft.com/office/drawing/2012/chart" uri="{02D57815-91ED-43cb-92C2-25804820EDAC}">
                  <c15:fullRef>
                    <c15:sqref>'Zed Mini'!$O$72:$O$86</c15:sqref>
                  </c15:fullRef>
                </c:ext>
              </c:extLst>
              <c:f>('Zed Mini'!$O$72,'Zed Mini'!$O$75,'Zed Mini'!$O$78,'Zed Mini'!$O$81,'Zed Mini'!$O$84)</c:f>
              <c:numCache>
                <c:formatCode>0.0</c:formatCode>
                <c:ptCount val="5"/>
                <c:pt idx="0">
                  <c:v>0</c:v>
                </c:pt>
                <c:pt idx="1">
                  <c:v>3.6512454276760096</c:v>
                </c:pt>
                <c:pt idx="2">
                  <c:v>14.685002961886831</c:v>
                </c:pt>
                <c:pt idx="3">
                  <c:v>29.18018588607902</c:v>
                </c:pt>
                <c:pt idx="4">
                  <c:v>28.825605167899333</c:v>
                </c:pt>
              </c:numCache>
            </c:numRef>
          </c:val>
          <c:smooth val="0"/>
          <c:extLst xmlns:c16r2="http://schemas.microsoft.com/office/drawing/2015/06/chart">
            <c:ext xmlns:c16="http://schemas.microsoft.com/office/drawing/2014/chart" uri="{C3380CC4-5D6E-409C-BE32-E72D297353CC}">
              <c16:uniqueId val="{00000003-8C9E-4AF1-A2E9-E38D445D80E5}"/>
            </c:ext>
          </c:extLst>
        </c:ser>
        <c:dLbls>
          <c:showLegendKey val="0"/>
          <c:showVal val="0"/>
          <c:showCatName val="0"/>
          <c:showSerName val="0"/>
          <c:showPercent val="0"/>
          <c:showBubbleSize val="0"/>
        </c:dLbls>
        <c:marker val="1"/>
        <c:smooth val="0"/>
        <c:axId val="427894208"/>
        <c:axId val="427896560"/>
      </c:lineChart>
      <c:catAx>
        <c:axId val="42789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7896560"/>
        <c:crosses val="autoZero"/>
        <c:auto val="1"/>
        <c:lblAlgn val="ctr"/>
        <c:lblOffset val="100"/>
        <c:noMultiLvlLbl val="0"/>
      </c:catAx>
      <c:valAx>
        <c:axId val="427896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7894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ysClr val="windowText" lastClr="000000">
                    <a:lumMod val="65000"/>
                    <a:lumOff val="35000"/>
                  </a:sysClr>
                </a:solidFill>
                <a:latin typeface="+mn-lt"/>
                <a:ea typeface="+mn-ea"/>
                <a:cs typeface="+mn-cs"/>
              </a:defRPr>
            </a:pPr>
            <a:r>
              <a:rPr lang="de-DE" sz="2000" b="0" i="0" baseline="0">
                <a:effectLst/>
              </a:rPr>
              <a:t>Zed Mini Loop Correction Test - Total position drift [%]</a:t>
            </a:r>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ysClr val="windowText" lastClr="000000">
                  <a:lumMod val="65000"/>
                  <a:lumOff val="35000"/>
                </a:sysClr>
              </a:solidFill>
              <a:latin typeface="+mn-lt"/>
              <a:ea typeface="+mn-ea"/>
              <a:cs typeface="+mn-cs"/>
            </a:defRPr>
          </a:pPr>
          <a:endParaRPr lang="de-DE"/>
        </a:p>
      </c:txPr>
    </c:title>
    <c:autoTitleDeleted val="0"/>
    <c:plotArea>
      <c:layout/>
      <c:lineChart>
        <c:grouping val="standard"/>
        <c:varyColors val="0"/>
        <c:ser>
          <c:idx val="0"/>
          <c:order val="0"/>
          <c:tx>
            <c:v>#1</c:v>
          </c:tx>
          <c:spPr>
            <a:ln w="28575" cap="rnd">
              <a:solidFill>
                <a:schemeClr val="accent1"/>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T265'!$D$110,'Intel T265'!$D$116,'Intel T265'!$D$122,'Intel T265'!$D$128,'Intel T265'!$D$134,'Intel T265'!$D$140,'Intel T265'!$D$146,'Intel T265'!$D$152,'Intel T265'!$D$157)</c:f>
              <c:strCache>
                <c:ptCount val="9"/>
                <c:pt idx="0">
                  <c:v>Start/End</c:v>
                </c:pt>
                <c:pt idx="1">
                  <c:v>1. Corner</c:v>
                </c:pt>
                <c:pt idx="2">
                  <c:v>2. Corner</c:v>
                </c:pt>
                <c:pt idx="3">
                  <c:v>3. Corner</c:v>
                </c:pt>
                <c:pt idx="4">
                  <c:v>Start/End</c:v>
                </c:pt>
                <c:pt idx="5">
                  <c:v>1. Corner</c:v>
                </c:pt>
                <c:pt idx="6">
                  <c:v>2. Corner</c:v>
                </c:pt>
                <c:pt idx="7">
                  <c:v>3. Corner</c:v>
                </c:pt>
                <c:pt idx="8">
                  <c:v>Start/End</c:v>
                </c:pt>
              </c:strCache>
            </c:strRef>
          </c:cat>
          <c:val>
            <c:numRef>
              <c:extLst>
                <c:ext xmlns:c15="http://schemas.microsoft.com/office/drawing/2012/chart" uri="{02D57815-91ED-43cb-92C2-25804820EDAC}">
                  <c15:fullRef>
                    <c15:sqref>'Zed Mini'!$O$107:$O$157</c15:sqref>
                  </c15:fullRef>
                </c:ext>
              </c:extLst>
              <c:f>('Zed Mini'!$O$107,'Zed Mini'!$O$110,'Zed Mini'!$O$116,'Zed Mini'!$O$122,'Zed Mini'!$O$128,'Zed Mini'!$O$134,'Zed Mini'!$O$140,'Zed Mini'!$O$146,'Zed Mini'!$O$152,'Zed Mini'!$O$157)</c:f>
              <c:numCache>
                <c:formatCode>0.0</c:formatCode>
                <c:ptCount val="10"/>
                <c:pt idx="0">
                  <c:v>0</c:v>
                </c:pt>
                <c:pt idx="1">
                  <c:v>2.9550763470467265</c:v>
                </c:pt>
                <c:pt idx="2">
                  <c:v>26.366340203904969</c:v>
                </c:pt>
                <c:pt idx="3">
                  <c:v>49.135746019121605</c:v>
                </c:pt>
                <c:pt idx="4">
                  <c:v>37.79218661738237</c:v>
                </c:pt>
                <c:pt idx="5">
                  <c:v>4.315284434498504</c:v>
                </c:pt>
                <c:pt idx="6">
                  <c:v>23.520574684902058</c:v>
                </c:pt>
                <c:pt idx="7">
                  <c:v>25.657041421003225</c:v>
                </c:pt>
                <c:pt idx="8">
                  <c:v>25.568168091816606</c:v>
                </c:pt>
              </c:numCache>
            </c:numRef>
          </c:val>
          <c:smooth val="0"/>
          <c:extLst xmlns:c16r2="http://schemas.microsoft.com/office/drawing/2015/06/chart">
            <c:ext xmlns:c16="http://schemas.microsoft.com/office/drawing/2014/chart" uri="{C3380CC4-5D6E-409C-BE32-E72D297353CC}">
              <c16:uniqueId val="{00000000-7AF0-4C77-9EF7-8E0BDCFE911A}"/>
            </c:ext>
          </c:extLst>
        </c:ser>
        <c:ser>
          <c:idx val="1"/>
          <c:order val="1"/>
          <c:tx>
            <c:v>#2</c:v>
          </c:tx>
          <c:spPr>
            <a:ln w="28575" cap="rnd">
              <a:solidFill>
                <a:schemeClr val="accent2"/>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T265'!$D$110,'Intel T265'!$D$116,'Intel T265'!$D$122,'Intel T265'!$D$128,'Intel T265'!$D$134,'Intel T265'!$D$140,'Intel T265'!$D$146,'Intel T265'!$D$152,'Intel T265'!$D$157)</c:f>
              <c:strCache>
                <c:ptCount val="9"/>
                <c:pt idx="0">
                  <c:v>Start/End</c:v>
                </c:pt>
                <c:pt idx="1">
                  <c:v>1. Corner</c:v>
                </c:pt>
                <c:pt idx="2">
                  <c:v>2. Corner</c:v>
                </c:pt>
                <c:pt idx="3">
                  <c:v>3. Corner</c:v>
                </c:pt>
                <c:pt idx="4">
                  <c:v>Start/End</c:v>
                </c:pt>
                <c:pt idx="5">
                  <c:v>1. Corner</c:v>
                </c:pt>
                <c:pt idx="6">
                  <c:v>2. Corner</c:v>
                </c:pt>
                <c:pt idx="7">
                  <c:v>3. Corner</c:v>
                </c:pt>
                <c:pt idx="8">
                  <c:v>Start/End</c:v>
                </c:pt>
              </c:strCache>
            </c:strRef>
          </c:cat>
          <c:val>
            <c:numRef>
              <c:extLst>
                <c:ext xmlns:c15="http://schemas.microsoft.com/office/drawing/2012/chart" uri="{02D57815-91ED-43cb-92C2-25804820EDAC}">
                  <c15:fullRef>
                    <c15:sqref>'Zed Mini'!$O$160:$O$210</c15:sqref>
                  </c15:fullRef>
                </c:ext>
              </c:extLst>
              <c:f>('Zed Mini'!$O$160,'Zed Mini'!$O$163,'Zed Mini'!$O$169,'Zed Mini'!$O$175,'Zed Mini'!$O$181,'Zed Mini'!$O$187,'Zed Mini'!$O$193,'Zed Mini'!$O$199,'Zed Mini'!$O$205,'Zed Mini'!$O$210)</c:f>
              <c:numCache>
                <c:formatCode>0.0</c:formatCode>
                <c:ptCount val="10"/>
                <c:pt idx="0">
                  <c:v>0</c:v>
                </c:pt>
                <c:pt idx="1">
                  <c:v>3.8697003377199675</c:v>
                </c:pt>
                <c:pt idx="2">
                  <c:v>30.05572471457069</c:v>
                </c:pt>
                <c:pt idx="3">
                  <c:v>40.855353535154975</c:v>
                </c:pt>
                <c:pt idx="4">
                  <c:v>39.760293716812782</c:v>
                </c:pt>
                <c:pt idx="5">
                  <c:v>3.9009249225344074</c:v>
                </c:pt>
                <c:pt idx="6">
                  <c:v>29.019715689591486</c:v>
                </c:pt>
                <c:pt idx="7">
                  <c:v>57.356002991764079</c:v>
                </c:pt>
                <c:pt idx="8">
                  <c:v>39.743527794056547</c:v>
                </c:pt>
              </c:numCache>
            </c:numRef>
          </c:val>
          <c:smooth val="0"/>
          <c:extLst xmlns:c16r2="http://schemas.microsoft.com/office/drawing/2015/06/chart">
            <c:ext xmlns:c16="http://schemas.microsoft.com/office/drawing/2014/chart" uri="{C3380CC4-5D6E-409C-BE32-E72D297353CC}">
              <c16:uniqueId val="{00000001-7AF0-4C77-9EF7-8E0BDCFE911A}"/>
            </c:ext>
          </c:extLst>
        </c:ser>
        <c:ser>
          <c:idx val="2"/>
          <c:order val="2"/>
          <c:tx>
            <c:v>#3</c:v>
          </c:tx>
          <c:spPr>
            <a:ln w="28575" cap="rnd">
              <a:solidFill>
                <a:schemeClr val="accent3"/>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T265'!$D$110,'Intel T265'!$D$116,'Intel T265'!$D$122,'Intel T265'!$D$128,'Intel T265'!$D$134,'Intel T265'!$D$140,'Intel T265'!$D$146,'Intel T265'!$D$152,'Intel T265'!$D$157)</c:f>
              <c:strCache>
                <c:ptCount val="9"/>
                <c:pt idx="0">
                  <c:v>Start/End</c:v>
                </c:pt>
                <c:pt idx="1">
                  <c:v>1. Corner</c:v>
                </c:pt>
                <c:pt idx="2">
                  <c:v>2. Corner</c:v>
                </c:pt>
                <c:pt idx="3">
                  <c:v>3. Corner</c:v>
                </c:pt>
                <c:pt idx="4">
                  <c:v>Start/End</c:v>
                </c:pt>
                <c:pt idx="5">
                  <c:v>1. Corner</c:v>
                </c:pt>
                <c:pt idx="6">
                  <c:v>2. Corner</c:v>
                </c:pt>
                <c:pt idx="7">
                  <c:v>3. Corner</c:v>
                </c:pt>
                <c:pt idx="8">
                  <c:v>Start/End</c:v>
                </c:pt>
              </c:strCache>
            </c:strRef>
          </c:cat>
          <c:val>
            <c:numRef>
              <c:extLst>
                <c:ext xmlns:c15="http://schemas.microsoft.com/office/drawing/2012/chart" uri="{02D57815-91ED-43cb-92C2-25804820EDAC}">
                  <c15:fullRef>
                    <c15:sqref>'Zed Mini'!$O$213:$O$263</c15:sqref>
                  </c15:fullRef>
                </c:ext>
              </c:extLst>
              <c:f>('Zed Mini'!$O$213,'Zed Mini'!$O$216,'Zed Mini'!$O$222,'Zed Mini'!$O$228,'Zed Mini'!$O$234,'Zed Mini'!$O$240,'Zed Mini'!$O$246,'Zed Mini'!$O$252,'Zed Mini'!$O$258,'Zed Mini'!$O$263)</c:f>
              <c:numCache>
                <c:formatCode>0.0</c:formatCode>
                <c:ptCount val="10"/>
                <c:pt idx="0">
                  <c:v>0</c:v>
                </c:pt>
                <c:pt idx="1">
                  <c:v>4.7585776957905228</c:v>
                </c:pt>
                <c:pt idx="2">
                  <c:v>31.508408623320967</c:v>
                </c:pt>
                <c:pt idx="3">
                  <c:v>49.732725259145518</c:v>
                </c:pt>
                <c:pt idx="4">
                  <c:v>38.412680775617751</c:v>
                </c:pt>
                <c:pt idx="5">
                  <c:v>3.9756111895688444</c:v>
                </c:pt>
                <c:pt idx="6">
                  <c:v>19.713921075444592</c:v>
                </c:pt>
                <c:pt idx="7">
                  <c:v>37.56504136995725</c:v>
                </c:pt>
                <c:pt idx="8">
                  <c:v>28.91221963638116</c:v>
                </c:pt>
              </c:numCache>
            </c:numRef>
          </c:val>
          <c:smooth val="0"/>
          <c:extLst xmlns:c16r2="http://schemas.microsoft.com/office/drawing/2015/06/chart">
            <c:ext xmlns:c16="http://schemas.microsoft.com/office/drawing/2014/chart" uri="{C3380CC4-5D6E-409C-BE32-E72D297353CC}">
              <c16:uniqueId val="{00000002-7AF0-4C77-9EF7-8E0BDCFE911A}"/>
            </c:ext>
          </c:extLst>
        </c:ser>
        <c:ser>
          <c:idx val="3"/>
          <c:order val="3"/>
          <c:tx>
            <c:v>arithmetic</c:v>
          </c:tx>
          <c:spPr>
            <a:ln w="28575" cap="rnd">
              <a:solidFill>
                <a:schemeClr val="accent4"/>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T265'!$D$110,'Intel T265'!$D$116,'Intel T265'!$D$122,'Intel T265'!$D$128,'Intel T265'!$D$134,'Intel T265'!$D$140,'Intel T265'!$D$146,'Intel T265'!$D$152,'Intel T265'!$D$157)</c:f>
              <c:strCache>
                <c:ptCount val="9"/>
                <c:pt idx="0">
                  <c:v>Start/End</c:v>
                </c:pt>
                <c:pt idx="1">
                  <c:v>1. Corner</c:v>
                </c:pt>
                <c:pt idx="2">
                  <c:v>2. Corner</c:v>
                </c:pt>
                <c:pt idx="3">
                  <c:v>3. Corner</c:v>
                </c:pt>
                <c:pt idx="4">
                  <c:v>Start/End</c:v>
                </c:pt>
                <c:pt idx="5">
                  <c:v>1. Corner</c:v>
                </c:pt>
                <c:pt idx="6">
                  <c:v>2. Corner</c:v>
                </c:pt>
                <c:pt idx="7">
                  <c:v>3. Corner</c:v>
                </c:pt>
                <c:pt idx="8">
                  <c:v>Start/End</c:v>
                </c:pt>
              </c:strCache>
            </c:strRef>
          </c:cat>
          <c:val>
            <c:numRef>
              <c:extLst>
                <c:ext xmlns:c15="http://schemas.microsoft.com/office/drawing/2012/chart" uri="{02D57815-91ED-43cb-92C2-25804820EDAC}">
                  <c15:fullRef>
                    <c15:sqref>'Zed Mini'!$O$266:$O$316</c15:sqref>
                  </c15:fullRef>
                </c:ext>
              </c:extLst>
              <c:f>('Zed Mini'!$O$266,'Zed Mini'!$O$269,'Zed Mini'!$O$275,'Zed Mini'!$O$281,'Zed Mini'!$O$287,'Zed Mini'!$O$293,'Zed Mini'!$O$299,'Zed Mini'!$O$305,'Zed Mini'!$O$311,'Zed Mini'!$O$316)</c:f>
              <c:numCache>
                <c:formatCode>0.0</c:formatCode>
                <c:ptCount val="10"/>
                <c:pt idx="0">
                  <c:v>0</c:v>
                </c:pt>
                <c:pt idx="1">
                  <c:v>3.3056186942546084</c:v>
                </c:pt>
                <c:pt idx="2">
                  <c:v>28.934220056166581</c:v>
                </c:pt>
                <c:pt idx="3">
                  <c:v>45.702659132652748</c:v>
                </c:pt>
                <c:pt idx="4">
                  <c:v>37.026454465437943</c:v>
                </c:pt>
                <c:pt idx="5">
                  <c:v>3.0325317891069914</c:v>
                </c:pt>
                <c:pt idx="6">
                  <c:v>23.742619264809047</c:v>
                </c:pt>
                <c:pt idx="7">
                  <c:v>38.733129376345865</c:v>
                </c:pt>
                <c:pt idx="8">
                  <c:v>29.866036112261202</c:v>
                </c:pt>
              </c:numCache>
            </c:numRef>
          </c:val>
          <c:smooth val="0"/>
          <c:extLst xmlns:c16r2="http://schemas.microsoft.com/office/drawing/2015/06/chart">
            <c:ext xmlns:c16="http://schemas.microsoft.com/office/drawing/2014/chart" uri="{C3380CC4-5D6E-409C-BE32-E72D297353CC}">
              <c16:uniqueId val="{00000003-7AF0-4C77-9EF7-8E0BDCFE911A}"/>
            </c:ext>
          </c:extLst>
        </c:ser>
        <c:dLbls>
          <c:showLegendKey val="0"/>
          <c:showVal val="0"/>
          <c:showCatName val="0"/>
          <c:showSerName val="0"/>
          <c:showPercent val="0"/>
          <c:showBubbleSize val="0"/>
        </c:dLbls>
        <c:smooth val="0"/>
        <c:axId val="427896168"/>
        <c:axId val="427896952"/>
      </c:lineChart>
      <c:catAx>
        <c:axId val="427896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7896952"/>
        <c:crosses val="autoZero"/>
        <c:auto val="1"/>
        <c:lblAlgn val="ctr"/>
        <c:lblOffset val="100"/>
        <c:noMultiLvlLbl val="0"/>
      </c:catAx>
      <c:valAx>
        <c:axId val="427896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7896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de-DE" sz="2000"/>
              <a:t>Intel T265 Rotation Test - Total rotation drift [%]</a:t>
            </a:r>
          </a:p>
        </c:rich>
      </c:tx>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1"/>
          <c:order val="0"/>
          <c:tx>
            <c:v>#1</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extLst>
                <c:ext xmlns:c15="http://schemas.microsoft.com/office/drawing/2012/chart" uri="{02D57815-91ED-43cb-92C2-25804820EDAC}">
                  <c15:fullRef>
                    <c15:sqref>'Intel T265'!$D$13:$D$33</c15:sqref>
                  </c15:fullRef>
                </c:ext>
              </c:extLst>
              <c:f>('Intel T265'!$D$13,'Intel T265'!$D$16,'Intel T265'!$D$19,'Intel T265'!$D$22,'Intel T265'!$D$25,'Intel T265'!$D$28,'Intel T265'!$D$31)</c:f>
              <c:strCache>
                <c:ptCount val="7"/>
                <c:pt idx="0">
                  <c:v>#1</c:v>
                </c:pt>
                <c:pt idx="1">
                  <c:v>#2</c:v>
                </c:pt>
                <c:pt idx="2">
                  <c:v>#3</c:v>
                </c:pt>
                <c:pt idx="3">
                  <c:v>#4</c:v>
                </c:pt>
                <c:pt idx="4">
                  <c:v>#5</c:v>
                </c:pt>
                <c:pt idx="5">
                  <c:v>#6</c:v>
                </c:pt>
                <c:pt idx="6">
                  <c:v>#7</c:v>
                </c:pt>
              </c:strCache>
            </c:strRef>
          </c:cat>
          <c:val>
            <c:numRef>
              <c:extLst>
                <c:ext xmlns:c15="http://schemas.microsoft.com/office/drawing/2012/chart" uri="{02D57815-91ED-43cb-92C2-25804820EDAC}">
                  <c15:fullRef>
                    <c15:sqref>'Intel T265'!$Q$13:$Q$33</c15:sqref>
                  </c15:fullRef>
                </c:ext>
              </c:extLst>
              <c:f>('Intel T265'!$Q$13,'Intel T265'!$Q$16,'Intel T265'!$Q$19,'Intel T265'!$Q$22,'Intel T265'!$Q$25,'Intel T265'!$Q$28,'Intel T265'!$Q$31)</c:f>
              <c:numCache>
                <c:formatCode>0.0</c:formatCode>
                <c:ptCount val="7"/>
                <c:pt idx="0">
                  <c:v>0</c:v>
                </c:pt>
                <c:pt idx="1">
                  <c:v>1.5114812073823642</c:v>
                </c:pt>
                <c:pt idx="2">
                  <c:v>1.8257435163939733</c:v>
                </c:pt>
                <c:pt idx="3">
                  <c:v>2.9317952310925977</c:v>
                </c:pt>
                <c:pt idx="4">
                  <c:v>2.8336529727753854</c:v>
                </c:pt>
                <c:pt idx="5">
                  <c:v>1.9151488696496786</c:v>
                </c:pt>
                <c:pt idx="6">
                  <c:v>1.7177680880992388</c:v>
                </c:pt>
              </c:numCache>
            </c:numRef>
          </c:val>
          <c:smooth val="0"/>
          <c:extLst xmlns:c16r2="http://schemas.microsoft.com/office/drawing/2015/06/chart">
            <c:ext xmlns:c16="http://schemas.microsoft.com/office/drawing/2014/chart" uri="{C3380CC4-5D6E-409C-BE32-E72D297353CC}">
              <c16:uniqueId val="{00000001-D38A-4466-8A4E-2ED4EB2CC08A}"/>
            </c:ext>
          </c:extLst>
        </c:ser>
        <c:dLbls>
          <c:showLegendKey val="0"/>
          <c:showVal val="0"/>
          <c:showCatName val="0"/>
          <c:showSerName val="0"/>
          <c:showPercent val="0"/>
          <c:showBubbleSize val="0"/>
        </c:dLbls>
        <c:marker val="1"/>
        <c:smooth val="0"/>
        <c:axId val="454745176"/>
        <c:axId val="454745960"/>
      </c:lineChart>
      <c:catAx>
        <c:axId val="454745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745960"/>
        <c:crosses val="autoZero"/>
        <c:auto val="1"/>
        <c:lblAlgn val="ctr"/>
        <c:lblOffset val="100"/>
        <c:noMultiLvlLbl val="0"/>
      </c:catAx>
      <c:valAx>
        <c:axId val="4547459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745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ysClr val="windowText" lastClr="000000">
                    <a:lumMod val="65000"/>
                    <a:lumOff val="35000"/>
                  </a:sysClr>
                </a:solidFill>
                <a:latin typeface="+mn-lt"/>
                <a:ea typeface="+mn-ea"/>
                <a:cs typeface="+mn-cs"/>
              </a:defRPr>
            </a:pPr>
            <a:r>
              <a:rPr lang="de-DE" sz="2000" b="0" i="0" baseline="0">
                <a:effectLst/>
              </a:rPr>
              <a:t>Intel T265 Loop Correction Test - Total rotation drift [%]</a:t>
            </a:r>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ysClr val="windowText" lastClr="000000">
                  <a:lumMod val="65000"/>
                  <a:lumOff val="35000"/>
                </a:sysClr>
              </a:solidFill>
              <a:latin typeface="+mn-lt"/>
              <a:ea typeface="+mn-ea"/>
              <a:cs typeface="+mn-cs"/>
            </a:defRPr>
          </a:pPr>
          <a:endParaRPr lang="de-DE"/>
        </a:p>
      </c:txPr>
    </c:title>
    <c:autoTitleDeleted val="0"/>
    <c:plotArea>
      <c:layout/>
      <c:lineChart>
        <c:grouping val="standard"/>
        <c:varyColors val="0"/>
        <c:ser>
          <c:idx val="0"/>
          <c:order val="0"/>
          <c:tx>
            <c:v>#1</c:v>
          </c:tx>
          <c:spPr>
            <a:ln w="28575" cap="rnd">
              <a:solidFill>
                <a:schemeClr val="accent1"/>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T265'!$D$113,'Intel T265'!$D$119,'Intel T265'!$D$125,'Intel T265'!$D$131,'Intel T265'!$D$137,'Intel T265'!$D$143,'Intel T265'!$D$149,'Intel T265'!$D$155,'Intel T265'!$D$157)</c:f>
              <c:strCache>
                <c:ptCount val="9"/>
                <c:pt idx="0">
                  <c:v>Start/End</c:v>
                </c:pt>
                <c:pt idx="1">
                  <c:v>90° Left Turn</c:v>
                </c:pt>
                <c:pt idx="2">
                  <c:v>90° Left Turn</c:v>
                </c:pt>
                <c:pt idx="3">
                  <c:v>90° Left Turn</c:v>
                </c:pt>
                <c:pt idx="4">
                  <c:v>90° Left Turn (initial position)</c:v>
                </c:pt>
                <c:pt idx="5">
                  <c:v>90° Left Turn</c:v>
                </c:pt>
                <c:pt idx="6">
                  <c:v>90° Left Turn</c:v>
                </c:pt>
                <c:pt idx="7">
                  <c:v>90° Left Turn</c:v>
                </c:pt>
                <c:pt idx="8">
                  <c:v>90° Left Turn (initial position)</c:v>
                </c:pt>
              </c:strCache>
            </c:strRef>
          </c:cat>
          <c:val>
            <c:numRef>
              <c:extLst>
                <c:ext xmlns:c15="http://schemas.microsoft.com/office/drawing/2012/chart" uri="{02D57815-91ED-43cb-92C2-25804820EDAC}">
                  <c15:fullRef>
                    <c15:sqref>'Intel T265'!$Q$107:$Q$157</c15:sqref>
                  </c15:fullRef>
                </c:ext>
              </c:extLst>
              <c:f>('Intel T265'!$Q$107,'Intel T265'!$Q$113,'Intel T265'!$Q$119,'Intel T265'!$Q$125,'Intel T265'!$Q$131,'Intel T265'!$Q$137,'Intel T265'!$Q$143,'Intel T265'!$Q$149,'Intel T265'!$Q$155,'Intel T265'!$Q$157)</c:f>
              <c:numCache>
                <c:formatCode>0.0</c:formatCode>
                <c:ptCount val="10"/>
                <c:pt idx="0">
                  <c:v>0</c:v>
                </c:pt>
                <c:pt idx="1">
                  <c:v>5.7699620268377574</c:v>
                </c:pt>
                <c:pt idx="2">
                  <c:v>9.9319860202340209</c:v>
                </c:pt>
                <c:pt idx="3">
                  <c:v>8.4877875565497689</c:v>
                </c:pt>
                <c:pt idx="4">
                  <c:v>9.235330067347638</c:v>
                </c:pt>
                <c:pt idx="5">
                  <c:v>8.5910052405767203</c:v>
                </c:pt>
                <c:pt idx="6">
                  <c:v>9.1077946823163813</c:v>
                </c:pt>
                <c:pt idx="7">
                  <c:v>7.8330442631287216</c:v>
                </c:pt>
                <c:pt idx="8">
                  <c:v>10.181624365918971</c:v>
                </c:pt>
              </c:numCache>
            </c:numRef>
          </c:val>
          <c:smooth val="0"/>
          <c:extLst xmlns:c16r2="http://schemas.microsoft.com/office/drawing/2015/06/chart">
            <c:ext xmlns:c16="http://schemas.microsoft.com/office/drawing/2014/chart" uri="{C3380CC4-5D6E-409C-BE32-E72D297353CC}">
              <c16:uniqueId val="{00000000-AAA4-4388-B814-CEFFECD8604E}"/>
            </c:ext>
          </c:extLst>
        </c:ser>
        <c:ser>
          <c:idx val="1"/>
          <c:order val="1"/>
          <c:tx>
            <c:v>#2</c:v>
          </c:tx>
          <c:spPr>
            <a:ln w="28575" cap="rnd">
              <a:solidFill>
                <a:schemeClr val="accent2"/>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T265'!$D$113,'Intel T265'!$D$119,'Intel T265'!$D$125,'Intel T265'!$D$131,'Intel T265'!$D$137,'Intel T265'!$D$143,'Intel T265'!$D$149,'Intel T265'!$D$155,'Intel T265'!$D$157)</c:f>
              <c:strCache>
                <c:ptCount val="9"/>
                <c:pt idx="0">
                  <c:v>Start/End</c:v>
                </c:pt>
                <c:pt idx="1">
                  <c:v>90° Left Turn</c:v>
                </c:pt>
                <c:pt idx="2">
                  <c:v>90° Left Turn</c:v>
                </c:pt>
                <c:pt idx="3">
                  <c:v>90° Left Turn</c:v>
                </c:pt>
                <c:pt idx="4">
                  <c:v>90° Left Turn (initial position)</c:v>
                </c:pt>
                <c:pt idx="5">
                  <c:v>90° Left Turn</c:v>
                </c:pt>
                <c:pt idx="6">
                  <c:v>90° Left Turn</c:v>
                </c:pt>
                <c:pt idx="7">
                  <c:v>90° Left Turn</c:v>
                </c:pt>
                <c:pt idx="8">
                  <c:v>90° Left Turn (initial position)</c:v>
                </c:pt>
              </c:strCache>
            </c:strRef>
          </c:cat>
          <c:val>
            <c:numRef>
              <c:extLst>
                <c:ext xmlns:c15="http://schemas.microsoft.com/office/drawing/2012/chart" uri="{02D57815-91ED-43cb-92C2-25804820EDAC}">
                  <c15:fullRef>
                    <c15:sqref>'Intel T265'!$Q$160:$Q$210</c15:sqref>
                  </c15:fullRef>
                </c:ext>
              </c:extLst>
              <c:f>('Intel T265'!$Q$160,'Intel T265'!$Q$166,'Intel T265'!$Q$172,'Intel T265'!$Q$178,'Intel T265'!$Q$184,'Intel T265'!$Q$190,'Intel T265'!$Q$196,'Intel T265'!$Q$202,'Intel T265'!$Q$208,'Intel T265'!$Q$210)</c:f>
              <c:numCache>
                <c:formatCode>0.0</c:formatCode>
                <c:ptCount val="10"/>
                <c:pt idx="0">
                  <c:v>0</c:v>
                </c:pt>
                <c:pt idx="1">
                  <c:v>5.3621178388744237</c:v>
                </c:pt>
                <c:pt idx="2">
                  <c:v>5.6680699991800338</c:v>
                </c:pt>
                <c:pt idx="3">
                  <c:v>4.6934879790790376</c:v>
                </c:pt>
                <c:pt idx="4">
                  <c:v>5.1692426128163573</c:v>
                </c:pt>
                <c:pt idx="5">
                  <c:v>5.6370341203748513</c:v>
                </c:pt>
                <c:pt idx="6">
                  <c:v>7.8694079559958787</c:v>
                </c:pt>
                <c:pt idx="7">
                  <c:v>6.42233179484957</c:v>
                </c:pt>
                <c:pt idx="8">
                  <c:v>6.3236039344056199</c:v>
                </c:pt>
              </c:numCache>
            </c:numRef>
          </c:val>
          <c:smooth val="0"/>
          <c:extLst xmlns:c16r2="http://schemas.microsoft.com/office/drawing/2015/06/chart">
            <c:ext xmlns:c16="http://schemas.microsoft.com/office/drawing/2014/chart" uri="{C3380CC4-5D6E-409C-BE32-E72D297353CC}">
              <c16:uniqueId val="{00000001-AAA4-4388-B814-CEFFECD8604E}"/>
            </c:ext>
          </c:extLst>
        </c:ser>
        <c:ser>
          <c:idx val="2"/>
          <c:order val="2"/>
          <c:tx>
            <c:v>#3</c:v>
          </c:tx>
          <c:spPr>
            <a:ln w="28575" cap="rnd">
              <a:solidFill>
                <a:schemeClr val="accent3"/>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T265'!$D$113,'Intel T265'!$D$119,'Intel T265'!$D$125,'Intel T265'!$D$131,'Intel T265'!$D$137,'Intel T265'!$D$143,'Intel T265'!$D$149,'Intel T265'!$D$155,'Intel T265'!$D$157)</c:f>
              <c:strCache>
                <c:ptCount val="9"/>
                <c:pt idx="0">
                  <c:v>Start/End</c:v>
                </c:pt>
                <c:pt idx="1">
                  <c:v>90° Left Turn</c:v>
                </c:pt>
                <c:pt idx="2">
                  <c:v>90° Left Turn</c:v>
                </c:pt>
                <c:pt idx="3">
                  <c:v>90° Left Turn</c:v>
                </c:pt>
                <c:pt idx="4">
                  <c:v>90° Left Turn (initial position)</c:v>
                </c:pt>
                <c:pt idx="5">
                  <c:v>90° Left Turn</c:v>
                </c:pt>
                <c:pt idx="6">
                  <c:v>90° Left Turn</c:v>
                </c:pt>
                <c:pt idx="7">
                  <c:v>90° Left Turn</c:v>
                </c:pt>
                <c:pt idx="8">
                  <c:v>90° Left Turn (initial position)</c:v>
                </c:pt>
              </c:strCache>
            </c:strRef>
          </c:cat>
          <c:val>
            <c:numRef>
              <c:extLst>
                <c:ext xmlns:c15="http://schemas.microsoft.com/office/drawing/2012/chart" uri="{02D57815-91ED-43cb-92C2-25804820EDAC}">
                  <c15:fullRef>
                    <c15:sqref>'Intel T265'!$Q$213:$Q$263</c15:sqref>
                  </c15:fullRef>
                </c:ext>
              </c:extLst>
              <c:f>('Intel T265'!$Q$213,'Intel T265'!$Q$219,'Intel T265'!$Q$225,'Intel T265'!$Q$231,'Intel T265'!$Q$237,'Intel T265'!$Q$243,'Intel T265'!$Q$249,'Intel T265'!$Q$255,'Intel T265'!$Q$261,'Intel T265'!$Q$263)</c:f>
              <c:numCache>
                <c:formatCode>0.0</c:formatCode>
                <c:ptCount val="10"/>
                <c:pt idx="0">
                  <c:v>0</c:v>
                </c:pt>
                <c:pt idx="1">
                  <c:v>3.7710307876735545</c:v>
                </c:pt>
                <c:pt idx="2">
                  <c:v>7.816382005553284</c:v>
                </c:pt>
                <c:pt idx="3">
                  <c:v>4.6858209103566102</c:v>
                </c:pt>
                <c:pt idx="4">
                  <c:v>8.3081430700443235</c:v>
                </c:pt>
                <c:pt idx="5">
                  <c:v>7.8414847350288195</c:v>
                </c:pt>
                <c:pt idx="6">
                  <c:v>7.0553090848358817</c:v>
                </c:pt>
                <c:pt idx="7">
                  <c:v>7.788996145047923</c:v>
                </c:pt>
                <c:pt idx="8">
                  <c:v>10.879196667287811</c:v>
                </c:pt>
              </c:numCache>
            </c:numRef>
          </c:val>
          <c:smooth val="0"/>
          <c:extLst xmlns:c16r2="http://schemas.microsoft.com/office/drawing/2015/06/chart">
            <c:ext xmlns:c16="http://schemas.microsoft.com/office/drawing/2014/chart" uri="{C3380CC4-5D6E-409C-BE32-E72D297353CC}">
              <c16:uniqueId val="{00000002-AAA4-4388-B814-CEFFECD8604E}"/>
            </c:ext>
          </c:extLst>
        </c:ser>
        <c:ser>
          <c:idx val="3"/>
          <c:order val="3"/>
          <c:tx>
            <c:v>arithmetic</c:v>
          </c:tx>
          <c:spPr>
            <a:ln w="28575" cap="rnd">
              <a:solidFill>
                <a:schemeClr val="accent4"/>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T265'!$D$113,'Intel T265'!$D$119,'Intel T265'!$D$125,'Intel T265'!$D$131,'Intel T265'!$D$137,'Intel T265'!$D$143,'Intel T265'!$D$149,'Intel T265'!$D$155,'Intel T265'!$D$157)</c:f>
              <c:strCache>
                <c:ptCount val="9"/>
                <c:pt idx="0">
                  <c:v>Start/End</c:v>
                </c:pt>
                <c:pt idx="1">
                  <c:v>90° Left Turn</c:v>
                </c:pt>
                <c:pt idx="2">
                  <c:v>90° Left Turn</c:v>
                </c:pt>
                <c:pt idx="3">
                  <c:v>90° Left Turn</c:v>
                </c:pt>
                <c:pt idx="4">
                  <c:v>90° Left Turn (initial position)</c:v>
                </c:pt>
                <c:pt idx="5">
                  <c:v>90° Left Turn</c:v>
                </c:pt>
                <c:pt idx="6">
                  <c:v>90° Left Turn</c:v>
                </c:pt>
                <c:pt idx="7">
                  <c:v>90° Left Turn</c:v>
                </c:pt>
                <c:pt idx="8">
                  <c:v>90° Left Turn (initial position)</c:v>
                </c:pt>
              </c:strCache>
            </c:strRef>
          </c:cat>
          <c:val>
            <c:numRef>
              <c:extLst>
                <c:ext xmlns:c15="http://schemas.microsoft.com/office/drawing/2012/chart" uri="{02D57815-91ED-43cb-92C2-25804820EDAC}">
                  <c15:fullRef>
                    <c15:sqref>'Intel T265'!$Q$266:$Q$316</c15:sqref>
                  </c15:fullRef>
                </c:ext>
              </c:extLst>
              <c:f>('Intel T265'!$Q$266,'Intel T265'!$Q$272,'Intel T265'!$Q$278,'Intel T265'!$Q$284,'Intel T265'!$Q$290,'Intel T265'!$Q$296,'Intel T265'!$Q$302,'Intel T265'!$Q$308,'Intel T265'!$Q$314,'Intel T265'!$Q$316)</c:f>
              <c:numCache>
                <c:formatCode>0.0</c:formatCode>
                <c:ptCount val="10"/>
                <c:pt idx="0">
                  <c:v>0</c:v>
                </c:pt>
                <c:pt idx="1">
                  <c:v>4.9677035511285785</c:v>
                </c:pt>
                <c:pt idx="2">
                  <c:v>7.8054793416557802</c:v>
                </c:pt>
                <c:pt idx="3">
                  <c:v>5.9556988153284713</c:v>
                </c:pt>
                <c:pt idx="4">
                  <c:v>7.5709052500694387</c:v>
                </c:pt>
                <c:pt idx="5">
                  <c:v>7.3565080319934628</c:v>
                </c:pt>
                <c:pt idx="6">
                  <c:v>8.01083724104938</c:v>
                </c:pt>
                <c:pt idx="7">
                  <c:v>7.348124067675406</c:v>
                </c:pt>
                <c:pt idx="8">
                  <c:v>9.1281416558707988</c:v>
                </c:pt>
              </c:numCache>
            </c:numRef>
          </c:val>
          <c:smooth val="0"/>
          <c:extLst xmlns:c16r2="http://schemas.microsoft.com/office/drawing/2015/06/chart">
            <c:ext xmlns:c16="http://schemas.microsoft.com/office/drawing/2014/chart" uri="{C3380CC4-5D6E-409C-BE32-E72D297353CC}">
              <c16:uniqueId val="{00000003-AAA4-4388-B814-CEFFECD8604E}"/>
            </c:ext>
          </c:extLst>
        </c:ser>
        <c:dLbls>
          <c:showLegendKey val="0"/>
          <c:showVal val="0"/>
          <c:showCatName val="0"/>
          <c:showSerName val="0"/>
          <c:showPercent val="0"/>
          <c:showBubbleSize val="0"/>
        </c:dLbls>
        <c:smooth val="0"/>
        <c:axId val="579518152"/>
        <c:axId val="579509136"/>
      </c:lineChart>
      <c:catAx>
        <c:axId val="5795181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509136"/>
        <c:crosses val="autoZero"/>
        <c:auto val="1"/>
        <c:lblAlgn val="ctr"/>
        <c:lblOffset val="100"/>
        <c:noMultiLvlLbl val="0"/>
      </c:catAx>
      <c:valAx>
        <c:axId val="5795091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518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ysClr val="windowText" lastClr="000000">
                    <a:lumMod val="65000"/>
                    <a:lumOff val="35000"/>
                  </a:sysClr>
                </a:solidFill>
                <a:latin typeface="+mn-lt"/>
                <a:ea typeface="+mn-ea"/>
                <a:cs typeface="+mn-cs"/>
              </a:defRPr>
            </a:pPr>
            <a:r>
              <a:rPr lang="de-DE" sz="2000" b="0" i="0" baseline="0">
                <a:effectLst/>
              </a:rPr>
              <a:t>Zed Mini Loop Correction Test - Total rotation drift [%]</a:t>
            </a:r>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ysClr val="windowText" lastClr="000000">
                  <a:lumMod val="65000"/>
                  <a:lumOff val="35000"/>
                </a:sysClr>
              </a:solidFill>
              <a:latin typeface="+mn-lt"/>
              <a:ea typeface="+mn-ea"/>
              <a:cs typeface="+mn-cs"/>
            </a:defRPr>
          </a:pPr>
          <a:endParaRPr lang="de-DE"/>
        </a:p>
      </c:txPr>
    </c:title>
    <c:autoTitleDeleted val="0"/>
    <c:plotArea>
      <c:layout/>
      <c:lineChart>
        <c:grouping val="standard"/>
        <c:varyColors val="0"/>
        <c:ser>
          <c:idx val="0"/>
          <c:order val="0"/>
          <c:tx>
            <c:v>#1</c:v>
          </c:tx>
          <c:spPr>
            <a:ln w="28575" cap="rnd">
              <a:solidFill>
                <a:schemeClr val="accent1"/>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T265'!$D$113,'Intel T265'!$D$119,'Intel T265'!$D$125,'Intel T265'!$D$131,'Intel T265'!$D$137,'Intel T265'!$D$143,'Intel T265'!$D$149,'Intel T265'!$D$155,'Intel T265'!$D$157)</c:f>
              <c:strCache>
                <c:ptCount val="9"/>
                <c:pt idx="0">
                  <c:v>Start/End</c:v>
                </c:pt>
                <c:pt idx="1">
                  <c:v>90° Left Turn</c:v>
                </c:pt>
                <c:pt idx="2">
                  <c:v>90° Left Turn</c:v>
                </c:pt>
                <c:pt idx="3">
                  <c:v>90° Left Turn</c:v>
                </c:pt>
                <c:pt idx="4">
                  <c:v>90° Left Turn (initial position)</c:v>
                </c:pt>
                <c:pt idx="5">
                  <c:v>90° Left Turn</c:v>
                </c:pt>
                <c:pt idx="6">
                  <c:v>90° Left Turn</c:v>
                </c:pt>
                <c:pt idx="7">
                  <c:v>90° Left Turn</c:v>
                </c:pt>
                <c:pt idx="8">
                  <c:v>90° Left Turn (initial position)</c:v>
                </c:pt>
              </c:strCache>
            </c:strRef>
          </c:cat>
          <c:val>
            <c:numRef>
              <c:extLst>
                <c:ext xmlns:c15="http://schemas.microsoft.com/office/drawing/2012/chart" uri="{02D57815-91ED-43cb-92C2-25804820EDAC}">
                  <c15:fullRef>
                    <c15:sqref>'Zed Mini'!$Q$107:$Q$157</c15:sqref>
                  </c15:fullRef>
                </c:ext>
              </c:extLst>
              <c:f>('Zed Mini'!$Q$107,'Zed Mini'!$Q$113,'Zed Mini'!$Q$119,'Zed Mini'!$Q$125,'Zed Mini'!$Q$131,'Zed Mini'!$Q$137,'Zed Mini'!$Q$143,'Zed Mini'!$Q$149,'Zed Mini'!$Q$155,'Zed Mini'!$Q$157)</c:f>
              <c:numCache>
                <c:formatCode>0.0</c:formatCode>
                <c:ptCount val="10"/>
                <c:pt idx="0">
                  <c:v>0</c:v>
                </c:pt>
                <c:pt idx="1">
                  <c:v>9.7617336060721893</c:v>
                </c:pt>
                <c:pt idx="2">
                  <c:v>7.7107481812351333</c:v>
                </c:pt>
                <c:pt idx="3">
                  <c:v>6.9279711703725573</c:v>
                </c:pt>
                <c:pt idx="4">
                  <c:v>6.9832617294698185</c:v>
                </c:pt>
                <c:pt idx="5">
                  <c:v>7.6488924693167233</c:v>
                </c:pt>
                <c:pt idx="6">
                  <c:v>6.2091262237819143</c:v>
                </c:pt>
                <c:pt idx="7">
                  <c:v>2.8517690698407412</c:v>
                </c:pt>
                <c:pt idx="8">
                  <c:v>5.0384013856900003</c:v>
                </c:pt>
              </c:numCache>
            </c:numRef>
          </c:val>
          <c:smooth val="0"/>
          <c:extLst xmlns:c16r2="http://schemas.microsoft.com/office/drawing/2015/06/chart">
            <c:ext xmlns:c16="http://schemas.microsoft.com/office/drawing/2014/chart" uri="{C3380CC4-5D6E-409C-BE32-E72D297353CC}">
              <c16:uniqueId val="{00000000-AAA4-4388-B814-CEFFECD8604E}"/>
            </c:ext>
          </c:extLst>
        </c:ser>
        <c:ser>
          <c:idx val="1"/>
          <c:order val="1"/>
          <c:tx>
            <c:v>#2</c:v>
          </c:tx>
          <c:spPr>
            <a:ln w="28575" cap="rnd">
              <a:solidFill>
                <a:schemeClr val="accent2"/>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T265'!$D$113,'Intel T265'!$D$119,'Intel T265'!$D$125,'Intel T265'!$D$131,'Intel T265'!$D$137,'Intel T265'!$D$143,'Intel T265'!$D$149,'Intel T265'!$D$155,'Intel T265'!$D$157)</c:f>
              <c:strCache>
                <c:ptCount val="9"/>
                <c:pt idx="0">
                  <c:v>Start/End</c:v>
                </c:pt>
                <c:pt idx="1">
                  <c:v>90° Left Turn</c:v>
                </c:pt>
                <c:pt idx="2">
                  <c:v>90° Left Turn</c:v>
                </c:pt>
                <c:pt idx="3">
                  <c:v>90° Left Turn</c:v>
                </c:pt>
                <c:pt idx="4">
                  <c:v>90° Left Turn (initial position)</c:v>
                </c:pt>
                <c:pt idx="5">
                  <c:v>90° Left Turn</c:v>
                </c:pt>
                <c:pt idx="6">
                  <c:v>90° Left Turn</c:v>
                </c:pt>
                <c:pt idx="7">
                  <c:v>90° Left Turn</c:v>
                </c:pt>
                <c:pt idx="8">
                  <c:v>90° Left Turn (initial position)</c:v>
                </c:pt>
              </c:strCache>
            </c:strRef>
          </c:cat>
          <c:val>
            <c:numRef>
              <c:extLst>
                <c:ext xmlns:c15="http://schemas.microsoft.com/office/drawing/2012/chart" uri="{02D57815-91ED-43cb-92C2-25804820EDAC}">
                  <c15:fullRef>
                    <c15:sqref>'Zed Mini'!$Q$160:$Q$210</c15:sqref>
                  </c15:fullRef>
                </c:ext>
              </c:extLst>
              <c:f>('Zed Mini'!$Q$160,'Zed Mini'!$Q$166,'Zed Mini'!$Q$172,'Zed Mini'!$Q$178,'Zed Mini'!$Q$184,'Zed Mini'!$Q$190,'Zed Mini'!$Q$196,'Zed Mini'!$Q$202,'Zed Mini'!$Q$208,'Zed Mini'!$Q$210)</c:f>
              <c:numCache>
                <c:formatCode>0.0</c:formatCode>
                <c:ptCount val="10"/>
                <c:pt idx="0">
                  <c:v>0</c:v>
                </c:pt>
                <c:pt idx="1">
                  <c:v>9.5285081186251332</c:v>
                </c:pt>
                <c:pt idx="2">
                  <c:v>10.620471211076786</c:v>
                </c:pt>
                <c:pt idx="3">
                  <c:v>11.107134051996237</c:v>
                </c:pt>
                <c:pt idx="4">
                  <c:v>4.8352965393441147</c:v>
                </c:pt>
                <c:pt idx="5">
                  <c:v>4.350484134518366</c:v>
                </c:pt>
                <c:pt idx="6">
                  <c:v>2.7341697043701005</c:v>
                </c:pt>
                <c:pt idx="7">
                  <c:v>3.2296258227034422</c:v>
                </c:pt>
                <c:pt idx="8">
                  <c:v>2.6084966251291775</c:v>
                </c:pt>
              </c:numCache>
            </c:numRef>
          </c:val>
          <c:smooth val="0"/>
          <c:extLst xmlns:c16r2="http://schemas.microsoft.com/office/drawing/2015/06/chart">
            <c:ext xmlns:c16="http://schemas.microsoft.com/office/drawing/2014/chart" uri="{C3380CC4-5D6E-409C-BE32-E72D297353CC}">
              <c16:uniqueId val="{00000001-AAA4-4388-B814-CEFFECD8604E}"/>
            </c:ext>
          </c:extLst>
        </c:ser>
        <c:ser>
          <c:idx val="2"/>
          <c:order val="2"/>
          <c:tx>
            <c:v>#3</c:v>
          </c:tx>
          <c:spPr>
            <a:ln w="28575" cap="rnd">
              <a:solidFill>
                <a:schemeClr val="accent3"/>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T265'!$D$113,'Intel T265'!$D$119,'Intel T265'!$D$125,'Intel T265'!$D$131,'Intel T265'!$D$137,'Intel T265'!$D$143,'Intel T265'!$D$149,'Intel T265'!$D$155,'Intel T265'!$D$157)</c:f>
              <c:strCache>
                <c:ptCount val="9"/>
                <c:pt idx="0">
                  <c:v>Start/End</c:v>
                </c:pt>
                <c:pt idx="1">
                  <c:v>90° Left Turn</c:v>
                </c:pt>
                <c:pt idx="2">
                  <c:v>90° Left Turn</c:v>
                </c:pt>
                <c:pt idx="3">
                  <c:v>90° Left Turn</c:v>
                </c:pt>
                <c:pt idx="4">
                  <c:v>90° Left Turn (initial position)</c:v>
                </c:pt>
                <c:pt idx="5">
                  <c:v>90° Left Turn</c:v>
                </c:pt>
                <c:pt idx="6">
                  <c:v>90° Left Turn</c:v>
                </c:pt>
                <c:pt idx="7">
                  <c:v>90° Left Turn</c:v>
                </c:pt>
                <c:pt idx="8">
                  <c:v>90° Left Turn (initial position)</c:v>
                </c:pt>
              </c:strCache>
            </c:strRef>
          </c:cat>
          <c:val>
            <c:numRef>
              <c:extLst>
                <c:ext xmlns:c15="http://schemas.microsoft.com/office/drawing/2012/chart" uri="{02D57815-91ED-43cb-92C2-25804820EDAC}">
                  <c15:fullRef>
                    <c15:sqref>'Zed Mini'!$Q$213:$Q$263</c15:sqref>
                  </c15:fullRef>
                </c:ext>
              </c:extLst>
              <c:f>('Zed Mini'!$Q$213,'Zed Mini'!$Q$219,'Zed Mini'!$Q$225,'Zed Mini'!$Q$231,'Zed Mini'!$Q$237,'Zed Mini'!$Q$243,'Zed Mini'!$Q$249,'Zed Mini'!$Q$255,'Zed Mini'!$Q$261,'Zed Mini'!$Q$263)</c:f>
              <c:numCache>
                <c:formatCode>0.0</c:formatCode>
                <c:ptCount val="10"/>
                <c:pt idx="0">
                  <c:v>0</c:v>
                </c:pt>
                <c:pt idx="1">
                  <c:v>11.923258130270385</c:v>
                </c:pt>
                <c:pt idx="2">
                  <c:v>4.5640602657233682</c:v>
                </c:pt>
                <c:pt idx="3">
                  <c:v>11.301975967563999</c:v>
                </c:pt>
                <c:pt idx="4">
                  <c:v>12.897173283484948</c:v>
                </c:pt>
                <c:pt idx="5">
                  <c:v>8.6668207574608118</c:v>
                </c:pt>
                <c:pt idx="6">
                  <c:v>7.5274722294667553</c:v>
                </c:pt>
                <c:pt idx="7">
                  <c:v>4.2933744791283761</c:v>
                </c:pt>
                <c:pt idx="8">
                  <c:v>8.8155257590279383</c:v>
                </c:pt>
              </c:numCache>
            </c:numRef>
          </c:val>
          <c:smooth val="0"/>
          <c:extLst xmlns:c16r2="http://schemas.microsoft.com/office/drawing/2015/06/chart">
            <c:ext xmlns:c16="http://schemas.microsoft.com/office/drawing/2014/chart" uri="{C3380CC4-5D6E-409C-BE32-E72D297353CC}">
              <c16:uniqueId val="{00000002-AAA4-4388-B814-CEFFECD8604E}"/>
            </c:ext>
          </c:extLst>
        </c:ser>
        <c:ser>
          <c:idx val="3"/>
          <c:order val="3"/>
          <c:tx>
            <c:v>arithmetic</c:v>
          </c:tx>
          <c:spPr>
            <a:ln w="28575" cap="rnd">
              <a:solidFill>
                <a:schemeClr val="accent4"/>
              </a:solidFill>
              <a:round/>
            </a:ln>
            <a:effectLst/>
          </c:spPr>
          <c:marker>
            <c:symbol val="none"/>
          </c:marker>
          <c:cat>
            <c:strRef>
              <c:extLst>
                <c:ext xmlns:c15="http://schemas.microsoft.com/office/drawing/2012/chart" uri="{02D57815-91ED-43cb-92C2-25804820EDAC}">
                  <c15:fullRef>
                    <c15:sqref>'Intel T265'!$D$107:$D$157</c15:sqref>
                  </c15:fullRef>
                </c:ext>
              </c:extLst>
              <c:f>('Intel T265'!$D$107,'Intel T265'!$D$113,'Intel T265'!$D$119,'Intel T265'!$D$125,'Intel T265'!$D$131,'Intel T265'!$D$137,'Intel T265'!$D$143,'Intel T265'!$D$149,'Intel T265'!$D$155,'Intel T265'!$D$157)</c:f>
              <c:strCache>
                <c:ptCount val="9"/>
                <c:pt idx="0">
                  <c:v>Start/End</c:v>
                </c:pt>
                <c:pt idx="1">
                  <c:v>90° Left Turn</c:v>
                </c:pt>
                <c:pt idx="2">
                  <c:v>90° Left Turn</c:v>
                </c:pt>
                <c:pt idx="3">
                  <c:v>90° Left Turn</c:v>
                </c:pt>
                <c:pt idx="4">
                  <c:v>90° Left Turn (initial position)</c:v>
                </c:pt>
                <c:pt idx="5">
                  <c:v>90° Left Turn</c:v>
                </c:pt>
                <c:pt idx="6">
                  <c:v>90° Left Turn</c:v>
                </c:pt>
                <c:pt idx="7">
                  <c:v>90° Left Turn</c:v>
                </c:pt>
                <c:pt idx="8">
                  <c:v>90° Left Turn (initial position)</c:v>
                </c:pt>
              </c:strCache>
            </c:strRef>
          </c:cat>
          <c:val>
            <c:numRef>
              <c:extLst>
                <c:ext xmlns:c15="http://schemas.microsoft.com/office/drawing/2012/chart" uri="{02D57815-91ED-43cb-92C2-25804820EDAC}">
                  <c15:fullRef>
                    <c15:sqref>'Zed Mini'!$Q$266:$Q$316</c15:sqref>
                  </c15:fullRef>
                </c:ext>
              </c:extLst>
              <c:f>('Zed Mini'!$Q$266,'Zed Mini'!$Q$272,'Zed Mini'!$Q$278,'Zed Mini'!$Q$284,'Zed Mini'!$Q$290,'Zed Mini'!$Q$296,'Zed Mini'!$Q$302,'Zed Mini'!$Q$308,'Zed Mini'!$Q$314,'Zed Mini'!$Q$316)</c:f>
              <c:numCache>
                <c:formatCode>#,#00</c:formatCode>
                <c:ptCount val="10"/>
                <c:pt idx="0">
                  <c:v>0</c:v>
                </c:pt>
                <c:pt idx="1">
                  <c:v>10.404499951655904</c:v>
                </c:pt>
                <c:pt idx="2">
                  <c:v>7.6317598860117632</c:v>
                </c:pt>
                <c:pt idx="3">
                  <c:v>9.7790270633109326</c:v>
                </c:pt>
                <c:pt idx="4">
                  <c:v>8.2385771840996274</c:v>
                </c:pt>
                <c:pt idx="5">
                  <c:v>6.8887324537653001</c:v>
                </c:pt>
                <c:pt idx="6">
                  <c:v>5.49025605253959</c:v>
                </c:pt>
                <c:pt idx="7">
                  <c:v>3.458256457224187</c:v>
                </c:pt>
                <c:pt idx="8">
                  <c:v>5.4874745899490387</c:v>
                </c:pt>
              </c:numCache>
            </c:numRef>
          </c:val>
          <c:smooth val="0"/>
          <c:extLst xmlns:c16r2="http://schemas.microsoft.com/office/drawing/2015/06/chart">
            <c:ext xmlns:c16="http://schemas.microsoft.com/office/drawing/2014/chart" uri="{C3380CC4-5D6E-409C-BE32-E72D297353CC}">
              <c16:uniqueId val="{00000003-AAA4-4388-B814-CEFFECD8604E}"/>
            </c:ext>
          </c:extLst>
        </c:ser>
        <c:dLbls>
          <c:showLegendKey val="0"/>
          <c:showVal val="0"/>
          <c:showCatName val="0"/>
          <c:showSerName val="0"/>
          <c:showPercent val="0"/>
          <c:showBubbleSize val="0"/>
        </c:dLbls>
        <c:smooth val="0"/>
        <c:axId val="577860688"/>
        <c:axId val="577868136"/>
      </c:lineChart>
      <c:catAx>
        <c:axId val="577860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868136"/>
        <c:crosses val="autoZero"/>
        <c:auto val="1"/>
        <c:lblAlgn val="ctr"/>
        <c:lblOffset val="100"/>
        <c:noMultiLvlLbl val="0"/>
      </c:catAx>
      <c:valAx>
        <c:axId val="5778681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860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7</xdr:col>
      <xdr:colOff>19050</xdr:colOff>
      <xdr:row>17</xdr:row>
      <xdr:rowOff>38100</xdr:rowOff>
    </xdr:from>
    <xdr:to>
      <xdr:col>12</xdr:col>
      <xdr:colOff>542925</xdr:colOff>
      <xdr:row>35</xdr:row>
      <xdr:rowOff>95250</xdr:rowOff>
    </xdr:to>
    <xdr:pic>
      <xdr:nvPicPr>
        <xdr:cNvPr id="3222" name="Grafik 1">
          <a:extLst>
            <a:ext uri="{FF2B5EF4-FFF2-40B4-BE49-F238E27FC236}">
              <a16:creationId xmlns:a16="http://schemas.microsoft.com/office/drawing/2014/main" xmlns="" id="{00000000-0008-0000-0200-0000960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48650" y="3705225"/>
          <a:ext cx="4991100" cy="3743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xdr:colOff>
      <xdr:row>0</xdr:row>
      <xdr:rowOff>1</xdr:rowOff>
    </xdr:from>
    <xdr:to>
      <xdr:col>14</xdr:col>
      <xdr:colOff>625476</xdr:colOff>
      <xdr:row>16</xdr:row>
      <xdr:rowOff>180976</xdr:rowOff>
    </xdr:to>
    <xdr:pic>
      <xdr:nvPicPr>
        <xdr:cNvPr id="2" name="Grafik 1">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29601" y="1"/>
          <a:ext cx="6502400" cy="3657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66675</xdr:rowOff>
    </xdr:from>
    <xdr:to>
      <xdr:col>2</xdr:col>
      <xdr:colOff>5324475</xdr:colOff>
      <xdr:row>33</xdr:row>
      <xdr:rowOff>114300</xdr:rowOff>
    </xdr:to>
    <xdr:graphicFrame macro="">
      <xdr:nvGraphicFramePr>
        <xdr:cNvPr id="2" name="Diagramm 1">
          <a:extLst>
            <a:ext uri="{FF2B5EF4-FFF2-40B4-BE49-F238E27FC236}">
              <a16:creationId xmlns:a16="http://schemas.microsoft.com/office/drawing/2014/main" xmlns=""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161924</xdr:rowOff>
    </xdr:from>
    <xdr:to>
      <xdr:col>2</xdr:col>
      <xdr:colOff>4419599</xdr:colOff>
      <xdr:row>63</xdr:row>
      <xdr:rowOff>114299</xdr:rowOff>
    </xdr:to>
    <xdr:graphicFrame macro="">
      <xdr:nvGraphicFramePr>
        <xdr:cNvPr id="3" name="Diagramm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9525</xdr:colOff>
      <xdr:row>4</xdr:row>
      <xdr:rowOff>76200</xdr:rowOff>
    </xdr:from>
    <xdr:to>
      <xdr:col>5</xdr:col>
      <xdr:colOff>4895850</xdr:colOff>
      <xdr:row>33</xdr:row>
      <xdr:rowOff>123825</xdr:rowOff>
    </xdr:to>
    <xdr:graphicFrame macro="">
      <xdr:nvGraphicFramePr>
        <xdr:cNvPr id="4" name="Diagramm 3">
          <a:extLst>
            <a:ext uri="{FF2B5EF4-FFF2-40B4-BE49-F238E27FC236}">
              <a16:creationId xmlns:a16="http://schemas.microsoft.com/office/drawing/2014/main" xmlns=""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34</xdr:row>
      <xdr:rowOff>0</xdr:rowOff>
    </xdr:from>
    <xdr:to>
      <xdr:col>5</xdr:col>
      <xdr:colOff>4905375</xdr:colOff>
      <xdr:row>63</xdr:row>
      <xdr:rowOff>114300</xdr:rowOff>
    </xdr:to>
    <xdr:graphicFrame macro="">
      <xdr:nvGraphicFramePr>
        <xdr:cNvPr id="5" name="Diagramm 4">
          <a:extLst>
            <a:ext uri="{FF2B5EF4-FFF2-40B4-BE49-F238E27FC236}">
              <a16:creationId xmlns:a16="http://schemas.microsoft.com/office/drawing/2014/main" xmlns=""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94</xdr:row>
      <xdr:rowOff>57978</xdr:rowOff>
    </xdr:from>
    <xdr:to>
      <xdr:col>3</xdr:col>
      <xdr:colOff>415</xdr:colOff>
      <xdr:row>123</xdr:row>
      <xdr:rowOff>105603</xdr:rowOff>
    </xdr:to>
    <xdr:graphicFrame macro="">
      <xdr:nvGraphicFramePr>
        <xdr:cNvPr id="6" name="Diagramm 5">
          <a:extLst>
            <a:ext uri="{FF2B5EF4-FFF2-40B4-BE49-F238E27FC236}">
              <a16:creationId xmlns:a16="http://schemas.microsoft.com/office/drawing/2014/main" xmlns=""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64</xdr:row>
      <xdr:rowOff>0</xdr:rowOff>
    </xdr:from>
    <xdr:to>
      <xdr:col>2</xdr:col>
      <xdr:colOff>4419599</xdr:colOff>
      <xdr:row>93</xdr:row>
      <xdr:rowOff>118028</xdr:rowOff>
    </xdr:to>
    <xdr:graphicFrame macro="">
      <xdr:nvGraphicFramePr>
        <xdr:cNvPr id="7" name="Diagramm 6">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64</xdr:row>
      <xdr:rowOff>0</xdr:rowOff>
    </xdr:from>
    <xdr:to>
      <xdr:col>5</xdr:col>
      <xdr:colOff>4858577</xdr:colOff>
      <xdr:row>93</xdr:row>
      <xdr:rowOff>118028</xdr:rowOff>
    </xdr:to>
    <xdr:graphicFrame macro="">
      <xdr:nvGraphicFramePr>
        <xdr:cNvPr id="8" name="Diagramm 7">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queryTables/queryTable1.xml><?xml version="1.0" encoding="utf-8"?>
<queryTable xmlns="http://schemas.openxmlformats.org/spreadsheetml/2006/main" name="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4" connectionId="4"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5" connectionId="5"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2" connectionId="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3" connectionId="3"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6"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https://rosindustrial.org/3d-camera-survey"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B8"/>
  <sheetViews>
    <sheetView zoomScale="120" zoomScaleNormal="120" workbookViewId="0">
      <selection activeCell="B9" sqref="B9"/>
    </sheetView>
  </sheetViews>
  <sheetFormatPr baseColWidth="10" defaultColWidth="10.5703125" defaultRowHeight="15" x14ac:dyDescent="0.25"/>
  <cols>
    <col min="1" max="1" width="23.140625" style="1" customWidth="1"/>
    <col min="2" max="2" width="57" style="1" customWidth="1"/>
    <col min="3" max="16384" width="10.5703125" style="1"/>
  </cols>
  <sheetData>
    <row r="1" spans="1:2" x14ac:dyDescent="0.25">
      <c r="A1" s="68" t="s">
        <v>0</v>
      </c>
      <c r="B1" s="68"/>
    </row>
    <row r="3" spans="1:2" x14ac:dyDescent="0.25">
      <c r="A3" s="1" t="s">
        <v>1</v>
      </c>
      <c r="B3" s="1" t="s">
        <v>2</v>
      </c>
    </row>
    <row r="4" spans="1:2" x14ac:dyDescent="0.25">
      <c r="A4" s="1" t="s">
        <v>3</v>
      </c>
      <c r="B4" s="1" t="s">
        <v>4</v>
      </c>
    </row>
    <row r="5" spans="1:2" x14ac:dyDescent="0.25">
      <c r="A5" s="1" t="s">
        <v>5</v>
      </c>
      <c r="B5" s="1" t="s">
        <v>6</v>
      </c>
    </row>
    <row r="6" spans="1:2" x14ac:dyDescent="0.25">
      <c r="A6" s="1" t="s">
        <v>7</v>
      </c>
      <c r="B6" s="1" t="s">
        <v>8</v>
      </c>
    </row>
    <row r="7" spans="1:2" x14ac:dyDescent="0.25">
      <c r="A7" s="1" t="s">
        <v>9</v>
      </c>
      <c r="B7" s="1" t="s">
        <v>10</v>
      </c>
    </row>
    <row r="8" spans="1:2" x14ac:dyDescent="0.25">
      <c r="A8" s="1" t="s">
        <v>11</v>
      </c>
      <c r="B8" s="1" t="s">
        <v>12</v>
      </c>
    </row>
  </sheetData>
  <sheetProtection selectLockedCells="1" selectUnlockedCells="1"/>
  <mergeCells count="1">
    <mergeCell ref="A1:B1"/>
  </mergeCells>
  <pageMargins left="0.7" right="0.7" top="0.78749999999999998" bottom="0.78749999999999998" header="0.51180555555555551" footer="0.51180555555555551"/>
  <pageSetup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B27"/>
  <sheetViews>
    <sheetView zoomScale="120" zoomScaleNormal="120" workbookViewId="0">
      <selection activeCell="B20" sqref="B20"/>
    </sheetView>
  </sheetViews>
  <sheetFormatPr baseColWidth="10" defaultColWidth="10.5703125" defaultRowHeight="15" x14ac:dyDescent="0.25"/>
  <cols>
    <col min="1" max="1" width="63" style="1" customWidth="1"/>
    <col min="2" max="2" width="33.5703125" style="1" customWidth="1"/>
    <col min="3" max="3" width="43" style="1" customWidth="1"/>
    <col min="4" max="16384" width="10.5703125" style="1"/>
  </cols>
  <sheetData>
    <row r="1" spans="1:2" x14ac:dyDescent="0.25">
      <c r="A1" s="2" t="s">
        <v>13</v>
      </c>
    </row>
    <row r="3" spans="1:2" x14ac:dyDescent="0.25">
      <c r="A3" s="1" t="s">
        <v>14</v>
      </c>
      <c r="B3" s="1" t="s">
        <v>117</v>
      </c>
    </row>
    <row r="4" spans="1:2" x14ac:dyDescent="0.25">
      <c r="A4" s="1" t="s">
        <v>15</v>
      </c>
      <c r="B4" s="1" t="s">
        <v>16</v>
      </c>
    </row>
    <row r="5" spans="1:2" x14ac:dyDescent="0.25">
      <c r="A5" s="1" t="s">
        <v>17</v>
      </c>
      <c r="B5" s="1" t="s">
        <v>18</v>
      </c>
    </row>
    <row r="6" spans="1:2" x14ac:dyDescent="0.25">
      <c r="A6" s="1" t="s">
        <v>19</v>
      </c>
      <c r="B6" s="1" t="s">
        <v>20</v>
      </c>
    </row>
    <row r="7" spans="1:2" x14ac:dyDescent="0.25">
      <c r="A7" s="1" t="s">
        <v>21</v>
      </c>
      <c r="B7" s="1" t="s">
        <v>22</v>
      </c>
    </row>
    <row r="8" spans="1:2" x14ac:dyDescent="0.25">
      <c r="A8" s="1" t="s">
        <v>23</v>
      </c>
      <c r="B8" s="3" t="s">
        <v>193</v>
      </c>
    </row>
    <row r="9" spans="1:2" x14ac:dyDescent="0.25">
      <c r="A9" s="1" t="s">
        <v>24</v>
      </c>
      <c r="B9" s="1" t="s">
        <v>25</v>
      </c>
    </row>
    <row r="10" spans="1:2" x14ac:dyDescent="0.25">
      <c r="A10" s="1" t="s">
        <v>26</v>
      </c>
      <c r="B10" s="1" t="s">
        <v>22</v>
      </c>
    </row>
    <row r="11" spans="1:2" x14ac:dyDescent="0.25">
      <c r="A11" s="1" t="s">
        <v>194</v>
      </c>
      <c r="B11" s="1" t="s">
        <v>195</v>
      </c>
    </row>
    <row r="12" spans="1:2" x14ac:dyDescent="0.25">
      <c r="A12" s="1" t="s">
        <v>28</v>
      </c>
      <c r="B12" s="1" t="s">
        <v>22</v>
      </c>
    </row>
    <row r="13" spans="1:2" x14ac:dyDescent="0.25">
      <c r="A13" s="1" t="s">
        <v>29</v>
      </c>
    </row>
    <row r="14" spans="1:2" x14ac:dyDescent="0.25">
      <c r="A14"/>
    </row>
    <row r="15" spans="1:2" x14ac:dyDescent="0.25">
      <c r="A15" s="2" t="s">
        <v>30</v>
      </c>
    </row>
    <row r="17" spans="1:1" x14ac:dyDescent="0.25">
      <c r="A17" s="1" t="s">
        <v>31</v>
      </c>
    </row>
    <row r="19" spans="1:1" x14ac:dyDescent="0.25">
      <c r="A19" s="2" t="s">
        <v>32</v>
      </c>
    </row>
    <row r="21" spans="1:1" x14ac:dyDescent="0.25">
      <c r="A21" s="64" t="s">
        <v>33</v>
      </c>
    </row>
    <row r="22" spans="1:1" x14ac:dyDescent="0.25">
      <c r="A22" s="1" t="s">
        <v>34</v>
      </c>
    </row>
    <row r="23" spans="1:1" x14ac:dyDescent="0.25">
      <c r="A23" s="1" t="s">
        <v>35</v>
      </c>
    </row>
    <row r="26" spans="1:1" x14ac:dyDescent="0.25">
      <c r="A26" s="4" t="s">
        <v>118</v>
      </c>
    </row>
    <row r="27" spans="1:1" x14ac:dyDescent="0.25">
      <c r="A27" s="1" t="s">
        <v>119</v>
      </c>
    </row>
  </sheetData>
  <sheetProtection selectLockedCells="1" selectUnlockedCells="1"/>
  <hyperlinks>
    <hyperlink ref="A21" r:id="rId1"/>
  </hyperlinks>
  <pageMargins left="0.7" right="0.7" top="0.78749999999999998" bottom="0.78749999999999998"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H160"/>
  <sheetViews>
    <sheetView zoomScaleNormal="100" workbookViewId="0">
      <selection activeCell="L73" sqref="L73"/>
    </sheetView>
  </sheetViews>
  <sheetFormatPr baseColWidth="10" defaultColWidth="10.5703125" defaultRowHeight="15" x14ac:dyDescent="0.25"/>
  <cols>
    <col min="1" max="1" width="10.85546875" style="1" customWidth="1"/>
    <col min="2" max="2" width="10.42578125" style="1" customWidth="1"/>
    <col min="3" max="3" width="20.42578125" style="1" customWidth="1"/>
    <col min="4" max="4" width="30.85546875" style="1" customWidth="1"/>
    <col min="5" max="5" width="22.42578125" style="1" customWidth="1"/>
    <col min="6" max="6" width="24.140625" style="1" customWidth="1"/>
    <col min="7" max="7" width="23.5703125" style="1" customWidth="1"/>
    <col min="8" max="8" width="24.7109375" style="1" customWidth="1"/>
    <col min="9" max="16384" width="10.5703125" style="1"/>
  </cols>
  <sheetData>
    <row r="1" spans="1:6" ht="30" customHeight="1" x14ac:dyDescent="0.25">
      <c r="A1" s="78" t="s">
        <v>36</v>
      </c>
      <c r="B1" s="78"/>
      <c r="C1" s="78"/>
      <c r="D1" s="78"/>
      <c r="E1" s="78"/>
      <c r="F1" s="78"/>
    </row>
    <row r="2" spans="1:6" ht="15" customHeight="1" x14ac:dyDescent="0.25">
      <c r="A2" s="77" t="s">
        <v>37</v>
      </c>
      <c r="B2" s="77"/>
      <c r="C2" s="77"/>
      <c r="D2" s="77"/>
      <c r="E2" s="77"/>
      <c r="F2" s="77"/>
    </row>
    <row r="3" spans="1:6" x14ac:dyDescent="0.25">
      <c r="A3" s="77"/>
      <c r="B3" s="77"/>
      <c r="C3" s="77"/>
      <c r="D3" s="77"/>
      <c r="E3" s="77"/>
      <c r="F3" s="77"/>
    </row>
    <row r="4" spans="1:6" ht="15" customHeight="1" x14ac:dyDescent="0.25">
      <c r="A4" s="77" t="s">
        <v>145</v>
      </c>
      <c r="B4" s="77"/>
      <c r="C4" s="77"/>
      <c r="D4" s="77"/>
      <c r="E4" s="77"/>
      <c r="F4" s="77"/>
    </row>
    <row r="5" spans="1:6" ht="15" customHeight="1" x14ac:dyDescent="0.25">
      <c r="A5" s="77" t="s">
        <v>38</v>
      </c>
      <c r="B5" s="77"/>
      <c r="C5" s="77"/>
      <c r="D5" s="77"/>
      <c r="E5" s="77"/>
      <c r="F5" s="77"/>
    </row>
    <row r="6" spans="1:6" ht="15" customHeight="1" x14ac:dyDescent="0.25">
      <c r="A6" s="77" t="s">
        <v>79</v>
      </c>
      <c r="B6" s="77"/>
      <c r="C6" s="77"/>
      <c r="D6" s="77"/>
      <c r="E6" s="77"/>
      <c r="F6" s="77"/>
    </row>
    <row r="7" spans="1:6" ht="33.75" customHeight="1" x14ac:dyDescent="0.25">
      <c r="A7" s="77" t="s">
        <v>120</v>
      </c>
      <c r="B7" s="77"/>
      <c r="C7" s="77"/>
      <c r="D7" s="77"/>
      <c r="E7" s="77"/>
      <c r="F7" s="77"/>
    </row>
    <row r="8" spans="1:6" x14ac:dyDescent="0.25">
      <c r="A8" s="77"/>
      <c r="B8" s="77"/>
      <c r="C8" s="77"/>
      <c r="D8" s="77"/>
      <c r="E8" s="77"/>
      <c r="F8" s="77"/>
    </row>
    <row r="9" spans="1:6" ht="15" customHeight="1" x14ac:dyDescent="0.25">
      <c r="A9" s="82" t="s">
        <v>39</v>
      </c>
      <c r="B9" s="82"/>
      <c r="C9" s="82"/>
      <c r="D9" s="60"/>
      <c r="E9" s="60"/>
      <c r="F9" s="60"/>
    </row>
    <row r="10" spans="1:6" ht="15" customHeight="1" x14ac:dyDescent="0.25">
      <c r="A10" s="60" t="s">
        <v>185</v>
      </c>
      <c r="B10" s="57">
        <v>7.0000000000000007E-2</v>
      </c>
      <c r="C10" s="60"/>
      <c r="D10" s="60"/>
      <c r="E10" s="60"/>
      <c r="F10" s="60"/>
    </row>
    <row r="11" spans="1:6" ht="15" customHeight="1" x14ac:dyDescent="0.25">
      <c r="A11" s="60" t="s">
        <v>186</v>
      </c>
      <c r="B11" s="57">
        <v>0.27</v>
      </c>
      <c r="C11" s="60"/>
      <c r="D11" s="60"/>
      <c r="E11" s="60"/>
      <c r="F11" s="60"/>
    </row>
    <row r="12" spans="1:6" x14ac:dyDescent="0.25">
      <c r="A12" s="82"/>
      <c r="B12" s="82"/>
      <c r="C12" s="82"/>
      <c r="D12" s="82"/>
      <c r="E12" s="82"/>
      <c r="F12" s="82"/>
    </row>
    <row r="13" spans="1:6" ht="15" customHeight="1" x14ac:dyDescent="0.25">
      <c r="A13" s="78" t="s">
        <v>40</v>
      </c>
      <c r="B13" s="78"/>
      <c r="C13" s="78"/>
      <c r="D13" s="78"/>
      <c r="E13" s="78"/>
      <c r="F13" s="78"/>
    </row>
    <row r="14" spans="1:6" x14ac:dyDescent="0.25">
      <c r="A14" s="77"/>
      <c r="B14" s="77"/>
      <c r="C14" s="77"/>
      <c r="D14" s="77"/>
      <c r="E14" s="77"/>
      <c r="F14" s="77"/>
    </row>
    <row r="15" spans="1:6" ht="15" customHeight="1" x14ac:dyDescent="0.25">
      <c r="A15" s="78" t="s">
        <v>131</v>
      </c>
      <c r="B15" s="78"/>
      <c r="C15" s="78"/>
      <c r="D15" s="78"/>
      <c r="E15" s="78"/>
      <c r="F15" s="78"/>
    </row>
    <row r="16" spans="1:6" x14ac:dyDescent="0.25">
      <c r="A16" s="77"/>
      <c r="B16" s="77"/>
      <c r="C16" s="77"/>
      <c r="D16" s="77"/>
      <c r="E16" s="77"/>
      <c r="F16" s="77"/>
    </row>
    <row r="17" spans="1:6" ht="15" customHeight="1" x14ac:dyDescent="0.25">
      <c r="A17" s="77" t="s">
        <v>41</v>
      </c>
      <c r="B17" s="77"/>
      <c r="C17" s="77"/>
      <c r="D17" s="77"/>
      <c r="E17" s="77"/>
      <c r="F17" s="77"/>
    </row>
    <row r="18" spans="1:6" ht="32.25" customHeight="1" x14ac:dyDescent="0.25">
      <c r="A18" s="77" t="s">
        <v>42</v>
      </c>
      <c r="B18" s="77"/>
      <c r="C18" s="77"/>
      <c r="D18" s="77"/>
      <c r="E18" s="77"/>
      <c r="F18" s="77"/>
    </row>
    <row r="19" spans="1:6" ht="15" customHeight="1" x14ac:dyDescent="0.25">
      <c r="A19" s="77" t="s">
        <v>124</v>
      </c>
      <c r="B19" s="77"/>
      <c r="C19" s="77"/>
      <c r="D19" s="77"/>
      <c r="E19" s="77"/>
      <c r="F19" s="77"/>
    </row>
    <row r="20" spans="1:6" ht="15" customHeight="1" x14ac:dyDescent="0.25">
      <c r="A20" s="77" t="s">
        <v>43</v>
      </c>
      <c r="B20" s="77"/>
      <c r="C20" s="77"/>
      <c r="D20" s="77"/>
      <c r="E20" s="77"/>
      <c r="F20" s="77"/>
    </row>
    <row r="21" spans="1:6" ht="15" customHeight="1" x14ac:dyDescent="0.25">
      <c r="A21" s="77" t="s">
        <v>44</v>
      </c>
      <c r="B21" s="77"/>
      <c r="C21" s="77"/>
      <c r="D21" s="77"/>
      <c r="E21" s="77"/>
      <c r="F21" s="77"/>
    </row>
    <row r="22" spans="1:6" ht="15" customHeight="1" x14ac:dyDescent="0.25">
      <c r="A22" s="77" t="s">
        <v>45</v>
      </c>
      <c r="B22" s="77"/>
      <c r="C22" s="77"/>
      <c r="D22" s="77"/>
      <c r="E22" s="77"/>
      <c r="F22" s="77"/>
    </row>
    <row r="23" spans="1:6" x14ac:dyDescent="0.25">
      <c r="A23" s="77"/>
      <c r="B23" s="77"/>
      <c r="C23" s="77"/>
      <c r="D23" s="77"/>
      <c r="E23" s="77"/>
      <c r="F23" s="77"/>
    </row>
    <row r="24" spans="1:6" x14ac:dyDescent="0.25">
      <c r="A24" s="77"/>
      <c r="B24" s="77"/>
      <c r="C24" s="77"/>
      <c r="D24" s="77"/>
      <c r="E24" s="77"/>
      <c r="F24" s="77"/>
    </row>
    <row r="25" spans="1:6" x14ac:dyDescent="0.25">
      <c r="A25" s="77"/>
      <c r="B25" s="77"/>
      <c r="C25" s="77"/>
      <c r="D25" s="77"/>
      <c r="E25" s="77"/>
      <c r="F25" s="77"/>
    </row>
    <row r="26" spans="1:6" ht="15" customHeight="1" x14ac:dyDescent="0.25">
      <c r="A26" s="78" t="s">
        <v>121</v>
      </c>
      <c r="B26" s="78"/>
      <c r="C26" s="78"/>
      <c r="D26" s="78"/>
      <c r="E26" s="78"/>
      <c r="F26" s="78"/>
    </row>
    <row r="27" spans="1:6" x14ac:dyDescent="0.25">
      <c r="A27" s="77"/>
      <c r="B27" s="77"/>
      <c r="C27" s="77"/>
      <c r="D27" s="77"/>
      <c r="E27" s="77"/>
      <c r="F27" s="77"/>
    </row>
    <row r="28" spans="1:6" x14ac:dyDescent="0.25">
      <c r="A28" s="79" t="s">
        <v>155</v>
      </c>
      <c r="B28" s="79"/>
      <c r="C28" s="79"/>
      <c r="D28" s="79"/>
      <c r="E28" s="79"/>
      <c r="F28" s="79"/>
    </row>
    <row r="29" spans="1:6" ht="15" customHeight="1" x14ac:dyDescent="0.25">
      <c r="A29" s="77" t="s">
        <v>156</v>
      </c>
      <c r="B29" s="77"/>
      <c r="C29" s="77"/>
      <c r="D29" s="77"/>
      <c r="E29" s="77"/>
      <c r="F29" s="77"/>
    </row>
    <row r="30" spans="1:6" ht="15" customHeight="1" x14ac:dyDescent="0.25">
      <c r="A30" s="77" t="s">
        <v>46</v>
      </c>
      <c r="B30" s="77"/>
      <c r="C30" s="77"/>
      <c r="D30" s="77"/>
      <c r="E30" s="77"/>
      <c r="F30" s="77"/>
    </row>
    <row r="31" spans="1:6" ht="15" customHeight="1" x14ac:dyDescent="0.25">
      <c r="A31" s="77" t="s">
        <v>157</v>
      </c>
      <c r="B31" s="77"/>
      <c r="C31" s="77"/>
      <c r="D31" s="77"/>
      <c r="E31" s="77"/>
      <c r="F31" s="77"/>
    </row>
    <row r="32" spans="1:6" ht="15" customHeight="1" x14ac:dyDescent="0.25">
      <c r="A32" s="77" t="s">
        <v>158</v>
      </c>
      <c r="B32" s="77"/>
      <c r="C32" s="77"/>
      <c r="D32" s="77"/>
      <c r="E32" s="77"/>
      <c r="F32" s="77"/>
    </row>
    <row r="33" spans="1:6" ht="15" customHeight="1" x14ac:dyDescent="0.25">
      <c r="A33" s="77" t="s">
        <v>159</v>
      </c>
      <c r="B33" s="77"/>
      <c r="C33" s="77"/>
      <c r="D33" s="77"/>
      <c r="E33" s="77"/>
      <c r="F33" s="77"/>
    </row>
    <row r="34" spans="1:6" ht="18" customHeight="1" x14ac:dyDescent="0.25">
      <c r="A34" s="77" t="s">
        <v>160</v>
      </c>
      <c r="B34" s="77"/>
      <c r="C34" s="77"/>
      <c r="D34" s="77"/>
      <c r="E34" s="77"/>
      <c r="F34" s="77"/>
    </row>
    <row r="35" spans="1:6" x14ac:dyDescent="0.25">
      <c r="A35" s="77"/>
      <c r="B35" s="77"/>
      <c r="C35" s="77"/>
      <c r="D35" s="77"/>
      <c r="E35" s="77"/>
      <c r="F35" s="77"/>
    </row>
    <row r="36" spans="1:6" x14ac:dyDescent="0.25">
      <c r="A36" s="77"/>
      <c r="B36" s="77"/>
      <c r="C36" s="77"/>
      <c r="D36" s="77"/>
      <c r="E36" s="77"/>
      <c r="F36" s="77"/>
    </row>
    <row r="37" spans="1:6" ht="15" customHeight="1" x14ac:dyDescent="0.25">
      <c r="A37" s="80"/>
      <c r="B37" s="80"/>
      <c r="C37" s="80"/>
      <c r="D37" s="80"/>
      <c r="E37" s="80"/>
      <c r="F37" s="80"/>
    </row>
    <row r="38" spans="1:6" ht="15" customHeight="1" x14ac:dyDescent="0.25">
      <c r="A38" s="81" t="s">
        <v>175</v>
      </c>
      <c r="B38" s="81"/>
      <c r="C38" s="81"/>
      <c r="D38" s="81"/>
      <c r="E38" s="81"/>
      <c r="F38" s="81"/>
    </row>
    <row r="39" spans="1:6" ht="15" customHeight="1" x14ac:dyDescent="0.25">
      <c r="A39" s="77"/>
      <c r="B39" s="77"/>
      <c r="C39" s="77"/>
      <c r="D39" s="77"/>
      <c r="E39" s="77"/>
      <c r="F39" s="77"/>
    </row>
    <row r="40" spans="1:6" ht="17.25" customHeight="1" x14ac:dyDescent="0.25">
      <c r="A40" s="77" t="s">
        <v>41</v>
      </c>
      <c r="B40" s="77"/>
      <c r="C40" s="77"/>
      <c r="D40" s="77"/>
      <c r="E40" s="77"/>
      <c r="F40" s="77"/>
    </row>
    <row r="41" spans="1:6" ht="15" customHeight="1" x14ac:dyDescent="0.25">
      <c r="A41" s="77" t="s">
        <v>42</v>
      </c>
      <c r="B41" s="77"/>
      <c r="C41" s="77"/>
      <c r="D41" s="77"/>
      <c r="E41" s="77"/>
      <c r="F41" s="77"/>
    </row>
    <row r="42" spans="1:6" ht="16.5" customHeight="1" x14ac:dyDescent="0.25">
      <c r="A42" s="77" t="s">
        <v>122</v>
      </c>
      <c r="B42" s="77"/>
      <c r="C42" s="77"/>
      <c r="D42" s="77"/>
      <c r="E42" s="77"/>
      <c r="F42" s="77"/>
    </row>
    <row r="43" spans="1:6" x14ac:dyDescent="0.25">
      <c r="A43" s="79" t="s">
        <v>123</v>
      </c>
      <c r="B43" s="79"/>
      <c r="C43" s="79"/>
      <c r="D43" s="79"/>
      <c r="E43" s="79"/>
      <c r="F43" s="79"/>
    </row>
    <row r="44" spans="1:6" x14ac:dyDescent="0.25">
      <c r="A44" s="79" t="s">
        <v>125</v>
      </c>
      <c r="B44" s="79"/>
      <c r="C44" s="79"/>
      <c r="D44" s="79"/>
      <c r="E44" s="79"/>
      <c r="F44" s="79"/>
    </row>
    <row r="45" spans="1:6" x14ac:dyDescent="0.25">
      <c r="A45" s="79" t="s">
        <v>126</v>
      </c>
      <c r="B45" s="79"/>
      <c r="C45" s="79"/>
      <c r="D45" s="79"/>
      <c r="E45" s="79"/>
      <c r="F45" s="79"/>
    </row>
    <row r="46" spans="1:6" x14ac:dyDescent="0.25">
      <c r="A46" s="79" t="s">
        <v>127</v>
      </c>
      <c r="B46" s="79"/>
      <c r="C46" s="79"/>
      <c r="D46" s="79"/>
      <c r="E46" s="79"/>
      <c r="F46" s="79"/>
    </row>
    <row r="47" spans="1:6" x14ac:dyDescent="0.25">
      <c r="A47" s="79" t="s">
        <v>128</v>
      </c>
      <c r="B47" s="79"/>
      <c r="C47" s="79"/>
      <c r="D47" s="79"/>
      <c r="E47" s="79"/>
      <c r="F47" s="79"/>
    </row>
    <row r="48" spans="1:6" x14ac:dyDescent="0.25">
      <c r="A48" s="79" t="s">
        <v>129</v>
      </c>
      <c r="B48" s="79"/>
      <c r="C48" s="79"/>
      <c r="D48" s="79"/>
      <c r="E48" s="79"/>
      <c r="F48" s="79"/>
    </row>
    <row r="49" spans="1:6" x14ac:dyDescent="0.25">
      <c r="A49" s="79" t="s">
        <v>130</v>
      </c>
      <c r="B49" s="79"/>
      <c r="C49" s="79"/>
      <c r="D49" s="79"/>
      <c r="E49" s="79"/>
      <c r="F49" s="79"/>
    </row>
    <row r="50" spans="1:6" x14ac:dyDescent="0.25">
      <c r="A50" s="77" t="s">
        <v>176</v>
      </c>
      <c r="B50" s="77"/>
      <c r="C50" s="77"/>
      <c r="D50" s="77"/>
      <c r="E50" s="77"/>
      <c r="F50" s="77"/>
    </row>
    <row r="51" spans="1:6" x14ac:dyDescent="0.25">
      <c r="A51" s="77"/>
      <c r="B51" s="77"/>
      <c r="C51" s="77"/>
      <c r="D51" s="77"/>
      <c r="E51" s="77"/>
      <c r="F51" s="77"/>
    </row>
    <row r="52" spans="1:6" ht="12.75" customHeight="1" x14ac:dyDescent="0.25">
      <c r="A52" s="79"/>
      <c r="B52" s="79"/>
      <c r="C52" s="79"/>
      <c r="D52" s="79"/>
      <c r="E52" s="79"/>
      <c r="F52" s="79"/>
    </row>
    <row r="53" spans="1:6" ht="66.75" customHeight="1" x14ac:dyDescent="0.25">
      <c r="A53" s="77" t="s">
        <v>132</v>
      </c>
      <c r="B53" s="77"/>
      <c r="C53" s="77"/>
      <c r="D53" s="77"/>
      <c r="E53" s="77"/>
      <c r="F53" s="77"/>
    </row>
    <row r="54" spans="1:6" x14ac:dyDescent="0.25">
      <c r="A54" s="41"/>
      <c r="B54" s="41"/>
      <c r="C54" s="41"/>
      <c r="D54" s="41"/>
      <c r="E54" s="41"/>
      <c r="F54" s="41"/>
    </row>
    <row r="55" spans="1:6" ht="14.25" customHeight="1" x14ac:dyDescent="0.25"/>
    <row r="56" spans="1:6" ht="15" customHeight="1" x14ac:dyDescent="0.25">
      <c r="A56" s="41"/>
      <c r="B56" s="41"/>
      <c r="C56" s="41"/>
      <c r="D56" s="41"/>
      <c r="E56" s="41"/>
      <c r="F56" s="41"/>
    </row>
    <row r="57" spans="1:6" ht="15" customHeight="1" x14ac:dyDescent="0.25">
      <c r="A57" s="42"/>
      <c r="B57" s="42"/>
      <c r="C57" s="42"/>
      <c r="D57" s="42"/>
      <c r="E57" s="42"/>
      <c r="F57" s="42"/>
    </row>
    <row r="58" spans="1:6" ht="13.5" customHeight="1" x14ac:dyDescent="0.25">
      <c r="A58" s="32"/>
      <c r="B58" s="32"/>
      <c r="C58" s="32"/>
      <c r="D58" s="32"/>
      <c r="E58" s="32"/>
      <c r="F58" s="32"/>
    </row>
    <row r="59" spans="1:6" ht="11.25" customHeight="1" x14ac:dyDescent="0.25"/>
    <row r="60" spans="1:6" x14ac:dyDescent="0.25">
      <c r="A60" s="5"/>
    </row>
    <row r="61" spans="1:6" x14ac:dyDescent="0.25">
      <c r="A61" s="5"/>
    </row>
    <row r="63" spans="1:6" x14ac:dyDescent="0.25">
      <c r="D63" s="1" t="s">
        <v>146</v>
      </c>
    </row>
    <row r="64" spans="1:6" x14ac:dyDescent="0.25">
      <c r="A64" s="14" t="s">
        <v>139</v>
      </c>
      <c r="D64" s="1" t="s">
        <v>147</v>
      </c>
    </row>
    <row r="65" spans="1:8" ht="15.75" thickBot="1" x14ac:dyDescent="0.3"/>
    <row r="66" spans="1:8" ht="15.75" thickBot="1" x14ac:dyDescent="0.3">
      <c r="A66" s="75" t="s">
        <v>140</v>
      </c>
      <c r="B66" s="76"/>
      <c r="C66" s="12" t="s">
        <v>138</v>
      </c>
      <c r="D66" s="12" t="s">
        <v>198</v>
      </c>
      <c r="E66" s="12" t="s">
        <v>164</v>
      </c>
      <c r="F66" s="11" t="s">
        <v>165</v>
      </c>
      <c r="G66" s="12" t="s">
        <v>169</v>
      </c>
      <c r="H66" s="11" t="s">
        <v>170</v>
      </c>
    </row>
    <row r="67" spans="1:8" x14ac:dyDescent="0.25">
      <c r="A67" s="72" t="s">
        <v>133</v>
      </c>
      <c r="B67" s="9" t="s">
        <v>134</v>
      </c>
      <c r="C67" s="8">
        <v>6</v>
      </c>
      <c r="D67" s="8">
        <v>0</v>
      </c>
      <c r="E67" s="8">
        <v>0</v>
      </c>
      <c r="F67" s="8">
        <v>0</v>
      </c>
      <c r="G67" s="69">
        <f>SQRT(E67^2+E68^2+E69^2)</f>
        <v>0</v>
      </c>
      <c r="H67" s="69">
        <v>0</v>
      </c>
    </row>
    <row r="68" spans="1:8" x14ac:dyDescent="0.25">
      <c r="A68" s="73"/>
      <c r="B68" s="9" t="s">
        <v>135</v>
      </c>
      <c r="C68" s="9">
        <v>1.4</v>
      </c>
      <c r="D68" s="9">
        <v>0</v>
      </c>
      <c r="E68" s="9">
        <v>0</v>
      </c>
      <c r="F68" s="9">
        <v>0</v>
      </c>
      <c r="G68" s="70"/>
      <c r="H68" s="70"/>
    </row>
    <row r="69" spans="1:8" ht="15.75" thickBot="1" x14ac:dyDescent="0.3">
      <c r="A69" s="74"/>
      <c r="B69" s="10" t="s">
        <v>136</v>
      </c>
      <c r="C69" s="10">
        <v>0</v>
      </c>
      <c r="D69" s="10">
        <v>0</v>
      </c>
      <c r="E69" s="10">
        <v>0</v>
      </c>
      <c r="F69" s="10">
        <v>0</v>
      </c>
      <c r="G69" s="71"/>
      <c r="H69" s="71"/>
    </row>
    <row r="70" spans="1:8" x14ac:dyDescent="0.25">
      <c r="A70" s="72" t="s">
        <v>148</v>
      </c>
      <c r="B70" s="8" t="s">
        <v>134</v>
      </c>
      <c r="C70" s="8">
        <v>6</v>
      </c>
      <c r="D70" s="8">
        <v>0</v>
      </c>
      <c r="E70" s="8">
        <v>0</v>
      </c>
      <c r="F70" s="8">
        <v>360</v>
      </c>
      <c r="G70" s="69">
        <f t="shared" ref="G70" si="0">SQRT(E70^2+E71^2+E72^2)</f>
        <v>0</v>
      </c>
      <c r="H70" s="69">
        <v>360</v>
      </c>
    </row>
    <row r="71" spans="1:8" x14ac:dyDescent="0.25">
      <c r="A71" s="73"/>
      <c r="B71" s="9" t="s">
        <v>135</v>
      </c>
      <c r="C71" s="9">
        <v>1.4</v>
      </c>
      <c r="D71" s="9">
        <v>0</v>
      </c>
      <c r="E71" s="9">
        <v>0</v>
      </c>
      <c r="F71" s="9">
        <v>0</v>
      </c>
      <c r="G71" s="70"/>
      <c r="H71" s="70"/>
    </row>
    <row r="72" spans="1:8" ht="15.75" thickBot="1" x14ac:dyDescent="0.3">
      <c r="A72" s="74"/>
      <c r="B72" s="10" t="s">
        <v>136</v>
      </c>
      <c r="C72" s="10">
        <v>0</v>
      </c>
      <c r="D72" s="10">
        <v>0</v>
      </c>
      <c r="E72" s="10">
        <v>0</v>
      </c>
      <c r="F72" s="10">
        <v>0</v>
      </c>
      <c r="G72" s="71"/>
      <c r="H72" s="71"/>
    </row>
    <row r="73" spans="1:8" x14ac:dyDescent="0.25">
      <c r="A73" s="72" t="s">
        <v>149</v>
      </c>
      <c r="B73" s="8" t="s">
        <v>134</v>
      </c>
      <c r="C73" s="8">
        <v>6</v>
      </c>
      <c r="D73" s="8">
        <v>0</v>
      </c>
      <c r="E73" s="8">
        <v>0</v>
      </c>
      <c r="F73" s="8">
        <v>0</v>
      </c>
      <c r="G73" s="69">
        <f t="shared" ref="G73" si="1">SQRT(E73^2+E74^2+E75^2)</f>
        <v>0</v>
      </c>
      <c r="H73" s="69">
        <v>360</v>
      </c>
    </row>
    <row r="74" spans="1:8" x14ac:dyDescent="0.25">
      <c r="A74" s="73"/>
      <c r="B74" s="9" t="s">
        <v>135</v>
      </c>
      <c r="C74" s="9">
        <v>1.4</v>
      </c>
      <c r="D74" s="9">
        <v>0</v>
      </c>
      <c r="E74" s="9">
        <v>0</v>
      </c>
      <c r="F74" s="9">
        <v>0</v>
      </c>
      <c r="G74" s="70"/>
      <c r="H74" s="70"/>
    </row>
    <row r="75" spans="1:8" ht="15.75" thickBot="1" x14ac:dyDescent="0.3">
      <c r="A75" s="74"/>
      <c r="B75" s="10" t="s">
        <v>136</v>
      </c>
      <c r="C75" s="10">
        <v>0</v>
      </c>
      <c r="D75" s="10">
        <v>0</v>
      </c>
      <c r="E75" s="10">
        <v>0</v>
      </c>
      <c r="F75" s="10">
        <v>360</v>
      </c>
      <c r="G75" s="71"/>
      <c r="H75" s="71"/>
    </row>
    <row r="76" spans="1:8" x14ac:dyDescent="0.25">
      <c r="A76" s="72" t="s">
        <v>150</v>
      </c>
      <c r="B76" s="8" t="s">
        <v>134</v>
      </c>
      <c r="C76" s="8">
        <v>6</v>
      </c>
      <c r="D76" s="8">
        <v>0</v>
      </c>
      <c r="E76" s="8">
        <v>0</v>
      </c>
      <c r="F76" s="8">
        <v>0</v>
      </c>
      <c r="G76" s="69">
        <f t="shared" ref="G76" si="2">SQRT(E76^2+E77^2+E78^2)</f>
        <v>0</v>
      </c>
      <c r="H76" s="69">
        <v>360</v>
      </c>
    </row>
    <row r="77" spans="1:8" x14ac:dyDescent="0.25">
      <c r="A77" s="73"/>
      <c r="B77" s="9" t="s">
        <v>135</v>
      </c>
      <c r="C77" s="9">
        <v>1.4</v>
      </c>
      <c r="D77" s="9">
        <v>0</v>
      </c>
      <c r="E77" s="9">
        <v>0</v>
      </c>
      <c r="F77" s="9">
        <v>-360</v>
      </c>
      <c r="G77" s="70"/>
      <c r="H77" s="70"/>
    </row>
    <row r="78" spans="1:8" ht="15.75" thickBot="1" x14ac:dyDescent="0.3">
      <c r="A78" s="74"/>
      <c r="B78" s="10" t="s">
        <v>136</v>
      </c>
      <c r="C78" s="10">
        <v>0</v>
      </c>
      <c r="D78" s="10">
        <v>0</v>
      </c>
      <c r="E78" s="10">
        <v>0</v>
      </c>
      <c r="F78" s="10">
        <v>0</v>
      </c>
      <c r="G78" s="71"/>
      <c r="H78" s="71"/>
    </row>
    <row r="79" spans="1:8" x14ac:dyDescent="0.25">
      <c r="A79" s="72" t="s">
        <v>151</v>
      </c>
      <c r="B79" s="9" t="s">
        <v>134</v>
      </c>
      <c r="C79" s="8">
        <v>6</v>
      </c>
      <c r="D79" s="8">
        <v>0</v>
      </c>
      <c r="E79" s="8">
        <v>0</v>
      </c>
      <c r="F79" s="8">
        <v>0</v>
      </c>
      <c r="G79" s="69">
        <f t="shared" ref="G79" si="3">SQRT(E79^2+E80^2+E81^2)</f>
        <v>0</v>
      </c>
      <c r="H79" s="69">
        <v>360</v>
      </c>
    </row>
    <row r="80" spans="1:8" x14ac:dyDescent="0.25">
      <c r="A80" s="73"/>
      <c r="B80" s="9" t="s">
        <v>135</v>
      </c>
      <c r="C80" s="9">
        <v>1.4</v>
      </c>
      <c r="D80" s="9">
        <v>0</v>
      </c>
      <c r="E80" s="9">
        <v>0</v>
      </c>
      <c r="F80" s="9">
        <v>360</v>
      </c>
      <c r="G80" s="70"/>
      <c r="H80" s="70"/>
    </row>
    <row r="81" spans="1:8" ht="15.75" thickBot="1" x14ac:dyDescent="0.3">
      <c r="A81" s="74"/>
      <c r="B81" s="10" t="s">
        <v>136</v>
      </c>
      <c r="C81" s="10">
        <v>0</v>
      </c>
      <c r="D81" s="10">
        <v>0</v>
      </c>
      <c r="E81" s="10">
        <v>0</v>
      </c>
      <c r="F81" s="10">
        <v>0</v>
      </c>
      <c r="G81" s="71"/>
      <c r="H81" s="71"/>
    </row>
    <row r="82" spans="1:8" x14ac:dyDescent="0.25">
      <c r="A82" s="72" t="s">
        <v>152</v>
      </c>
      <c r="B82" s="8" t="s">
        <v>134</v>
      </c>
      <c r="C82" s="8">
        <v>6</v>
      </c>
      <c r="D82" s="8">
        <v>0</v>
      </c>
      <c r="E82" s="8">
        <v>0</v>
      </c>
      <c r="F82" s="8">
        <v>0</v>
      </c>
      <c r="G82" s="69">
        <f t="shared" ref="G82" si="4">SQRT(E82^2+E83^2+E84^2)</f>
        <v>0</v>
      </c>
      <c r="H82" s="69">
        <v>360</v>
      </c>
    </row>
    <row r="83" spans="1:8" x14ac:dyDescent="0.25">
      <c r="A83" s="73"/>
      <c r="B83" s="9" t="s">
        <v>135</v>
      </c>
      <c r="C83" s="9">
        <v>1.4</v>
      </c>
      <c r="D83" s="9">
        <v>0</v>
      </c>
      <c r="E83" s="9">
        <v>0</v>
      </c>
      <c r="F83" s="9">
        <v>0</v>
      </c>
      <c r="G83" s="70"/>
      <c r="H83" s="70"/>
    </row>
    <row r="84" spans="1:8" ht="15.75" thickBot="1" x14ac:dyDescent="0.3">
      <c r="A84" s="74"/>
      <c r="B84" s="10" t="s">
        <v>136</v>
      </c>
      <c r="C84" s="10">
        <v>0</v>
      </c>
      <c r="D84" s="10">
        <v>0</v>
      </c>
      <c r="E84" s="10">
        <v>0</v>
      </c>
      <c r="F84" s="10">
        <v>-360</v>
      </c>
      <c r="G84" s="71"/>
      <c r="H84" s="71"/>
    </row>
    <row r="85" spans="1:8" x14ac:dyDescent="0.25">
      <c r="A85" s="72" t="s">
        <v>153</v>
      </c>
      <c r="B85" s="8" t="s">
        <v>134</v>
      </c>
      <c r="C85" s="8">
        <v>6</v>
      </c>
      <c r="D85" s="8">
        <v>0</v>
      </c>
      <c r="E85" s="8">
        <v>0</v>
      </c>
      <c r="F85" s="8">
        <v>-360</v>
      </c>
      <c r="G85" s="69">
        <f t="shared" ref="G85" si="5">SQRT(E85^2+E86^2+E87^2)</f>
        <v>0</v>
      </c>
      <c r="H85" s="69">
        <v>360</v>
      </c>
    </row>
    <row r="86" spans="1:8" x14ac:dyDescent="0.25">
      <c r="A86" s="73"/>
      <c r="B86" s="9" t="s">
        <v>135</v>
      </c>
      <c r="C86" s="9">
        <v>1.4</v>
      </c>
      <c r="D86" s="9">
        <v>0</v>
      </c>
      <c r="E86" s="9">
        <v>0</v>
      </c>
      <c r="F86" s="9">
        <v>0</v>
      </c>
      <c r="G86" s="70"/>
      <c r="H86" s="70"/>
    </row>
    <row r="87" spans="1:8" ht="15.75" thickBot="1" x14ac:dyDescent="0.3">
      <c r="A87" s="74"/>
      <c r="B87" s="10" t="s">
        <v>136</v>
      </c>
      <c r="C87" s="10">
        <v>0</v>
      </c>
      <c r="D87" s="10">
        <v>0</v>
      </c>
      <c r="E87" s="10">
        <v>0</v>
      </c>
      <c r="F87" s="10">
        <v>0</v>
      </c>
      <c r="G87" s="71"/>
      <c r="H87" s="71"/>
    </row>
    <row r="88" spans="1:8" ht="15.75" thickBot="1" x14ac:dyDescent="0.3">
      <c r="A88" s="25"/>
      <c r="B88" s="13"/>
      <c r="C88" s="13"/>
      <c r="D88" s="13"/>
      <c r="E88" s="13"/>
      <c r="F88" s="13"/>
    </row>
    <row r="89" spans="1:8" ht="15.75" thickBot="1" x14ac:dyDescent="0.3">
      <c r="A89" s="75" t="s">
        <v>163</v>
      </c>
      <c r="B89" s="76"/>
      <c r="C89" s="12" t="s">
        <v>138</v>
      </c>
      <c r="D89" s="12" t="s">
        <v>198</v>
      </c>
      <c r="E89" s="12" t="s">
        <v>164</v>
      </c>
      <c r="F89" s="11" t="s">
        <v>165</v>
      </c>
      <c r="G89" s="12" t="s">
        <v>169</v>
      </c>
      <c r="H89" s="11" t="s">
        <v>170</v>
      </c>
    </row>
    <row r="90" spans="1:8" x14ac:dyDescent="0.25">
      <c r="A90" s="72" t="s">
        <v>133</v>
      </c>
      <c r="B90" s="9" t="s">
        <v>134</v>
      </c>
      <c r="C90" s="8">
        <v>6</v>
      </c>
      <c r="D90" s="8">
        <v>0</v>
      </c>
      <c r="E90" s="8">
        <v>0</v>
      </c>
      <c r="F90" s="8">
        <v>0</v>
      </c>
      <c r="G90" s="69">
        <f>SQRT(E90^2+E91^2+E92^2)</f>
        <v>0</v>
      </c>
      <c r="H90" s="69">
        <v>0</v>
      </c>
    </row>
    <row r="91" spans="1:8" x14ac:dyDescent="0.25">
      <c r="A91" s="73"/>
      <c r="B91" s="9" t="s">
        <v>135</v>
      </c>
      <c r="C91" s="9">
        <v>1.4</v>
      </c>
      <c r="D91" s="9">
        <v>0</v>
      </c>
      <c r="E91" s="9">
        <v>0</v>
      </c>
      <c r="F91" s="9">
        <v>0</v>
      </c>
      <c r="G91" s="70"/>
      <c r="H91" s="70"/>
    </row>
    <row r="92" spans="1:8" ht="15.75" thickBot="1" x14ac:dyDescent="0.3">
      <c r="A92" s="74"/>
      <c r="B92" s="10" t="s">
        <v>136</v>
      </c>
      <c r="C92" s="10">
        <v>0</v>
      </c>
      <c r="D92" s="10">
        <v>0</v>
      </c>
      <c r="E92" s="10">
        <v>0</v>
      </c>
      <c r="F92" s="10">
        <v>0</v>
      </c>
      <c r="G92" s="71"/>
      <c r="H92" s="71"/>
    </row>
    <row r="93" spans="1:8" x14ac:dyDescent="0.25">
      <c r="A93" s="72" t="s">
        <v>148</v>
      </c>
      <c r="B93" s="8" t="s">
        <v>134</v>
      </c>
      <c r="C93" s="8">
        <v>6</v>
      </c>
      <c r="D93" s="8">
        <v>0</v>
      </c>
      <c r="E93" s="8">
        <v>0</v>
      </c>
      <c r="F93" s="8">
        <v>0</v>
      </c>
      <c r="G93" s="69">
        <f t="shared" ref="G93" si="6">SQRT(E93^2+E94^2+E95^2)</f>
        <v>4</v>
      </c>
      <c r="H93" s="69">
        <v>0</v>
      </c>
    </row>
    <row r="94" spans="1:8" x14ac:dyDescent="0.25">
      <c r="A94" s="73"/>
      <c r="B94" s="9" t="s">
        <v>135</v>
      </c>
      <c r="C94" s="9">
        <v>1.4</v>
      </c>
      <c r="D94" s="9">
        <v>0</v>
      </c>
      <c r="E94" s="9">
        <v>0</v>
      </c>
      <c r="F94" s="9">
        <v>0</v>
      </c>
      <c r="G94" s="70"/>
      <c r="H94" s="70"/>
    </row>
    <row r="95" spans="1:8" ht="15.75" thickBot="1" x14ac:dyDescent="0.3">
      <c r="A95" s="74"/>
      <c r="B95" s="10" t="s">
        <v>136</v>
      </c>
      <c r="C95" s="10">
        <v>4</v>
      </c>
      <c r="D95" s="10">
        <v>0</v>
      </c>
      <c r="E95" s="10">
        <v>4</v>
      </c>
      <c r="F95" s="10">
        <v>0</v>
      </c>
      <c r="G95" s="71"/>
      <c r="H95" s="71"/>
    </row>
    <row r="96" spans="1:8" x14ac:dyDescent="0.25">
      <c r="A96" s="72" t="s">
        <v>149</v>
      </c>
      <c r="B96" s="8" t="s">
        <v>134</v>
      </c>
      <c r="C96" s="8">
        <v>0</v>
      </c>
      <c r="D96" s="8">
        <v>0</v>
      </c>
      <c r="E96" s="8">
        <v>6</v>
      </c>
      <c r="F96" s="8">
        <v>0</v>
      </c>
      <c r="G96" s="69">
        <f t="shared" ref="G96" si="7">SQRT(E96^2+E97^2+E98^2)</f>
        <v>6</v>
      </c>
      <c r="H96" s="69">
        <v>0</v>
      </c>
    </row>
    <row r="97" spans="1:8" x14ac:dyDescent="0.25">
      <c r="A97" s="73"/>
      <c r="B97" s="9" t="s">
        <v>135</v>
      </c>
      <c r="C97" s="9">
        <v>1.4</v>
      </c>
      <c r="D97" s="9">
        <v>0</v>
      </c>
      <c r="E97" s="9">
        <v>0</v>
      </c>
      <c r="F97" s="9">
        <v>0</v>
      </c>
      <c r="G97" s="70"/>
      <c r="H97" s="70"/>
    </row>
    <row r="98" spans="1:8" ht="15.75" thickBot="1" x14ac:dyDescent="0.3">
      <c r="A98" s="74"/>
      <c r="B98" s="10" t="s">
        <v>136</v>
      </c>
      <c r="C98" s="10">
        <v>4</v>
      </c>
      <c r="D98" s="10">
        <v>0</v>
      </c>
      <c r="E98" s="10">
        <v>0</v>
      </c>
      <c r="F98" s="10">
        <v>0</v>
      </c>
      <c r="G98" s="71"/>
      <c r="H98" s="71"/>
    </row>
    <row r="99" spans="1:8" x14ac:dyDescent="0.25">
      <c r="A99" s="72" t="s">
        <v>150</v>
      </c>
      <c r="B99" s="8" t="s">
        <v>134</v>
      </c>
      <c r="C99" s="8">
        <v>0</v>
      </c>
      <c r="D99" s="8">
        <v>0</v>
      </c>
      <c r="E99" s="8">
        <v>0</v>
      </c>
      <c r="F99" s="8">
        <v>0</v>
      </c>
      <c r="G99" s="69">
        <f t="shared" ref="G99" si="8">SQRT(E99^2+E100^2+E101^2)</f>
        <v>4</v>
      </c>
      <c r="H99" s="69">
        <v>0</v>
      </c>
    </row>
    <row r="100" spans="1:8" x14ac:dyDescent="0.25">
      <c r="A100" s="73"/>
      <c r="B100" s="9" t="s">
        <v>135</v>
      </c>
      <c r="C100" s="9">
        <v>1.4</v>
      </c>
      <c r="D100" s="9">
        <v>0</v>
      </c>
      <c r="E100" s="9">
        <v>0</v>
      </c>
      <c r="F100" s="9">
        <v>0</v>
      </c>
      <c r="G100" s="70"/>
      <c r="H100" s="70"/>
    </row>
    <row r="101" spans="1:8" ht="15.75" thickBot="1" x14ac:dyDescent="0.3">
      <c r="A101" s="74"/>
      <c r="B101" s="10" t="s">
        <v>136</v>
      </c>
      <c r="C101" s="10">
        <v>0</v>
      </c>
      <c r="D101" s="10">
        <v>0</v>
      </c>
      <c r="E101" s="10">
        <v>4</v>
      </c>
      <c r="F101" s="10">
        <v>0</v>
      </c>
      <c r="G101" s="71"/>
      <c r="H101" s="71"/>
    </row>
    <row r="102" spans="1:8" x14ac:dyDescent="0.25">
      <c r="A102" s="72" t="s">
        <v>151</v>
      </c>
      <c r="B102" s="8" t="s">
        <v>134</v>
      </c>
      <c r="C102" s="8">
        <v>6</v>
      </c>
      <c r="D102" s="8">
        <v>0</v>
      </c>
      <c r="E102" s="8">
        <v>6</v>
      </c>
      <c r="F102" s="8">
        <v>0</v>
      </c>
      <c r="G102" s="69">
        <f t="shared" ref="G102" si="9">SQRT(E102^2+E103^2+E104^2)</f>
        <v>6</v>
      </c>
      <c r="H102" s="69">
        <v>0</v>
      </c>
    </row>
    <row r="103" spans="1:8" x14ac:dyDescent="0.25">
      <c r="A103" s="73"/>
      <c r="B103" s="9" t="s">
        <v>135</v>
      </c>
      <c r="C103" s="9">
        <v>1.4</v>
      </c>
      <c r="D103" s="9">
        <v>0</v>
      </c>
      <c r="E103" s="9">
        <v>0</v>
      </c>
      <c r="F103" s="9">
        <v>0</v>
      </c>
      <c r="G103" s="70"/>
      <c r="H103" s="70"/>
    </row>
    <row r="104" spans="1:8" ht="15.75" thickBot="1" x14ac:dyDescent="0.3">
      <c r="A104" s="74"/>
      <c r="B104" s="10" t="s">
        <v>136</v>
      </c>
      <c r="C104" s="10">
        <v>0</v>
      </c>
      <c r="D104" s="10">
        <v>0</v>
      </c>
      <c r="E104" s="10">
        <v>0</v>
      </c>
      <c r="F104" s="10">
        <v>0</v>
      </c>
      <c r="G104" s="71"/>
      <c r="H104" s="71"/>
    </row>
    <row r="105" spans="1:8" ht="15.75" thickBot="1" x14ac:dyDescent="0.3">
      <c r="A105" s="25"/>
      <c r="B105" s="13"/>
      <c r="C105" s="13"/>
      <c r="D105" s="13"/>
      <c r="E105" s="13"/>
      <c r="F105" s="13"/>
    </row>
    <row r="106" spans="1:8" ht="15.75" thickBot="1" x14ac:dyDescent="0.3">
      <c r="A106" s="75" t="s">
        <v>177</v>
      </c>
      <c r="B106" s="76"/>
      <c r="C106" s="12" t="s">
        <v>138</v>
      </c>
      <c r="D106" s="12" t="s">
        <v>198</v>
      </c>
      <c r="E106" s="12" t="s">
        <v>164</v>
      </c>
      <c r="F106" s="11" t="s">
        <v>165</v>
      </c>
      <c r="G106" s="12" t="s">
        <v>169</v>
      </c>
      <c r="H106" s="11" t="s">
        <v>170</v>
      </c>
    </row>
    <row r="107" spans="1:8" x14ac:dyDescent="0.25">
      <c r="A107" s="72" t="s">
        <v>133</v>
      </c>
      <c r="B107" s="9" t="s">
        <v>134</v>
      </c>
      <c r="C107" s="8">
        <v>6</v>
      </c>
      <c r="D107" s="8">
        <v>0</v>
      </c>
      <c r="E107" s="8">
        <v>0</v>
      </c>
      <c r="F107" s="8">
        <v>0</v>
      </c>
      <c r="G107" s="69">
        <f>SQRT(E107^2+E108^2+E109^2)</f>
        <v>0</v>
      </c>
      <c r="H107" s="69">
        <v>0</v>
      </c>
    </row>
    <row r="108" spans="1:8" x14ac:dyDescent="0.25">
      <c r="A108" s="73"/>
      <c r="B108" s="9" t="s">
        <v>135</v>
      </c>
      <c r="C108" s="9">
        <v>1.4</v>
      </c>
      <c r="D108" s="9">
        <v>0</v>
      </c>
      <c r="E108" s="9">
        <v>0</v>
      </c>
      <c r="F108" s="9">
        <v>0</v>
      </c>
      <c r="G108" s="70"/>
      <c r="H108" s="70"/>
    </row>
    <row r="109" spans="1:8" ht="15.75" thickBot="1" x14ac:dyDescent="0.3">
      <c r="A109" s="74"/>
      <c r="B109" s="10" t="s">
        <v>136</v>
      </c>
      <c r="C109" s="10">
        <v>0</v>
      </c>
      <c r="D109" s="10">
        <v>0</v>
      </c>
      <c r="E109" s="10">
        <v>0</v>
      </c>
      <c r="F109" s="10">
        <v>0</v>
      </c>
      <c r="G109" s="71"/>
      <c r="H109" s="71"/>
    </row>
    <row r="110" spans="1:8" x14ac:dyDescent="0.25">
      <c r="A110" s="72" t="s">
        <v>148</v>
      </c>
      <c r="B110" s="8" t="s">
        <v>134</v>
      </c>
      <c r="C110" s="8">
        <v>6</v>
      </c>
      <c r="D110" s="8">
        <v>0</v>
      </c>
      <c r="E110" s="8">
        <v>0</v>
      </c>
      <c r="F110" s="8">
        <v>0</v>
      </c>
      <c r="G110" s="69">
        <f t="shared" ref="G110" si="10">SQRT(E110^2+E111^2+E112^2)</f>
        <v>4</v>
      </c>
      <c r="H110" s="69">
        <v>0</v>
      </c>
    </row>
    <row r="111" spans="1:8" x14ac:dyDescent="0.25">
      <c r="A111" s="73"/>
      <c r="B111" s="9" t="s">
        <v>135</v>
      </c>
      <c r="C111" s="9">
        <v>1.4</v>
      </c>
      <c r="D111" s="9">
        <v>0</v>
      </c>
      <c r="E111" s="9">
        <v>0</v>
      </c>
      <c r="F111" s="9">
        <v>0</v>
      </c>
      <c r="G111" s="70"/>
      <c r="H111" s="70"/>
    </row>
    <row r="112" spans="1:8" ht="15.75" thickBot="1" x14ac:dyDescent="0.3">
      <c r="A112" s="74"/>
      <c r="B112" s="10" t="s">
        <v>136</v>
      </c>
      <c r="C112" s="10">
        <v>4</v>
      </c>
      <c r="D112" s="10">
        <v>0</v>
      </c>
      <c r="E112" s="10">
        <v>4</v>
      </c>
      <c r="F112" s="10">
        <v>0</v>
      </c>
      <c r="G112" s="71"/>
      <c r="H112" s="71"/>
    </row>
    <row r="113" spans="1:8" x14ac:dyDescent="0.25">
      <c r="A113" s="72" t="s">
        <v>149</v>
      </c>
      <c r="B113" s="8" t="s">
        <v>134</v>
      </c>
      <c r="C113" s="8">
        <v>6</v>
      </c>
      <c r="D113" s="8">
        <v>0</v>
      </c>
      <c r="E113" s="8">
        <v>0</v>
      </c>
      <c r="F113" s="8">
        <v>0</v>
      </c>
      <c r="G113" s="69">
        <f t="shared" ref="G113" si="11">SQRT(E113^2+E114^2+E115^2)</f>
        <v>0</v>
      </c>
      <c r="H113" s="69">
        <v>90</v>
      </c>
    </row>
    <row r="114" spans="1:8" x14ac:dyDescent="0.25">
      <c r="A114" s="73"/>
      <c r="B114" s="9" t="s">
        <v>135</v>
      </c>
      <c r="C114" s="9">
        <v>1.4</v>
      </c>
      <c r="D114" s="9">
        <v>270</v>
      </c>
      <c r="E114" s="9">
        <v>0</v>
      </c>
      <c r="F114" s="9">
        <v>90</v>
      </c>
      <c r="G114" s="70"/>
      <c r="H114" s="70"/>
    </row>
    <row r="115" spans="1:8" ht="15.75" thickBot="1" x14ac:dyDescent="0.3">
      <c r="A115" s="74"/>
      <c r="B115" s="10" t="s">
        <v>136</v>
      </c>
      <c r="C115" s="10">
        <v>4</v>
      </c>
      <c r="D115" s="10">
        <v>0</v>
      </c>
      <c r="E115" s="10">
        <v>0</v>
      </c>
      <c r="F115" s="10">
        <v>0</v>
      </c>
      <c r="G115" s="71"/>
      <c r="H115" s="71"/>
    </row>
    <row r="116" spans="1:8" x14ac:dyDescent="0.25">
      <c r="A116" s="72" t="s">
        <v>150</v>
      </c>
      <c r="B116" s="8" t="s">
        <v>134</v>
      </c>
      <c r="C116" s="8">
        <v>0</v>
      </c>
      <c r="D116" s="8">
        <v>0</v>
      </c>
      <c r="E116" s="8">
        <v>6</v>
      </c>
      <c r="F116" s="8">
        <v>0</v>
      </c>
      <c r="G116" s="69">
        <f t="shared" ref="G116" si="12">SQRT(E116^2+E117^2+E118^2)</f>
        <v>6</v>
      </c>
      <c r="H116" s="69">
        <v>0</v>
      </c>
    </row>
    <row r="117" spans="1:8" x14ac:dyDescent="0.25">
      <c r="A117" s="73"/>
      <c r="B117" s="9" t="s">
        <v>135</v>
      </c>
      <c r="C117" s="9">
        <v>1.4</v>
      </c>
      <c r="D117" s="9">
        <v>270</v>
      </c>
      <c r="E117" s="9">
        <v>0</v>
      </c>
      <c r="F117" s="9">
        <v>0</v>
      </c>
      <c r="G117" s="70"/>
      <c r="H117" s="70"/>
    </row>
    <row r="118" spans="1:8" ht="15.75" thickBot="1" x14ac:dyDescent="0.3">
      <c r="A118" s="74"/>
      <c r="B118" s="10" t="s">
        <v>136</v>
      </c>
      <c r="C118" s="10">
        <v>4</v>
      </c>
      <c r="D118" s="10">
        <v>0</v>
      </c>
      <c r="E118" s="10">
        <v>0</v>
      </c>
      <c r="F118" s="10">
        <v>0</v>
      </c>
      <c r="G118" s="71"/>
      <c r="H118" s="71"/>
    </row>
    <row r="119" spans="1:8" x14ac:dyDescent="0.25">
      <c r="A119" s="72" t="s">
        <v>151</v>
      </c>
      <c r="B119" s="8" t="s">
        <v>134</v>
      </c>
      <c r="C119" s="8">
        <v>0</v>
      </c>
      <c r="D119" s="8">
        <v>0</v>
      </c>
      <c r="E119" s="8">
        <v>0</v>
      </c>
      <c r="F119" s="8">
        <v>0</v>
      </c>
      <c r="G119" s="69">
        <f t="shared" ref="G119" si="13">SQRT(E119^2+E120^2+E121^2)</f>
        <v>0</v>
      </c>
      <c r="H119" s="69">
        <v>89.999999999999986</v>
      </c>
    </row>
    <row r="120" spans="1:8" x14ac:dyDescent="0.25">
      <c r="A120" s="73"/>
      <c r="B120" s="9" t="s">
        <v>135</v>
      </c>
      <c r="C120" s="9">
        <v>1.4</v>
      </c>
      <c r="D120" s="9">
        <v>180</v>
      </c>
      <c r="E120" s="9">
        <v>0</v>
      </c>
      <c r="F120" s="9">
        <v>90</v>
      </c>
      <c r="G120" s="70"/>
      <c r="H120" s="70"/>
    </row>
    <row r="121" spans="1:8" ht="15.75" thickBot="1" x14ac:dyDescent="0.3">
      <c r="A121" s="74"/>
      <c r="B121" s="10" t="s">
        <v>136</v>
      </c>
      <c r="C121" s="10">
        <v>4</v>
      </c>
      <c r="D121" s="10">
        <v>0</v>
      </c>
      <c r="E121" s="10">
        <v>0</v>
      </c>
      <c r="F121" s="10">
        <v>0</v>
      </c>
      <c r="G121" s="71"/>
      <c r="H121" s="71"/>
    </row>
    <row r="122" spans="1:8" x14ac:dyDescent="0.25">
      <c r="A122" s="72" t="s">
        <v>152</v>
      </c>
      <c r="B122" s="8" t="s">
        <v>134</v>
      </c>
      <c r="C122" s="8">
        <v>0</v>
      </c>
      <c r="D122" s="8">
        <v>0</v>
      </c>
      <c r="E122" s="8">
        <v>0</v>
      </c>
      <c r="F122" s="8">
        <v>0</v>
      </c>
      <c r="G122" s="69">
        <f t="shared" ref="G122" si="14">SQRT(E122^2+E123^2+E124^2)</f>
        <v>4</v>
      </c>
      <c r="H122" s="69">
        <v>0</v>
      </c>
    </row>
    <row r="123" spans="1:8" x14ac:dyDescent="0.25">
      <c r="A123" s="73"/>
      <c r="B123" s="9" t="s">
        <v>135</v>
      </c>
      <c r="C123" s="9">
        <v>1.4</v>
      </c>
      <c r="D123" s="9">
        <v>180</v>
      </c>
      <c r="E123" s="9">
        <v>0</v>
      </c>
      <c r="F123" s="9">
        <v>0</v>
      </c>
      <c r="G123" s="70"/>
      <c r="H123" s="70"/>
    </row>
    <row r="124" spans="1:8" ht="15.75" thickBot="1" x14ac:dyDescent="0.3">
      <c r="A124" s="74"/>
      <c r="B124" s="10" t="s">
        <v>136</v>
      </c>
      <c r="C124" s="10">
        <v>0</v>
      </c>
      <c r="D124" s="10">
        <v>0</v>
      </c>
      <c r="E124" s="10">
        <v>4</v>
      </c>
      <c r="F124" s="10">
        <v>0</v>
      </c>
      <c r="G124" s="71"/>
      <c r="H124" s="71"/>
    </row>
    <row r="125" spans="1:8" x14ac:dyDescent="0.25">
      <c r="A125" s="72" t="s">
        <v>153</v>
      </c>
      <c r="B125" s="8" t="s">
        <v>134</v>
      </c>
      <c r="C125" s="8">
        <v>0</v>
      </c>
      <c r="D125" s="8">
        <v>0</v>
      </c>
      <c r="E125" s="8">
        <v>0</v>
      </c>
      <c r="F125" s="8">
        <v>0</v>
      </c>
      <c r="G125" s="69">
        <f t="shared" ref="G125" si="15">SQRT(E125^2+E126^2+E127^2)</f>
        <v>0</v>
      </c>
      <c r="H125" s="69">
        <v>90</v>
      </c>
    </row>
    <row r="126" spans="1:8" x14ac:dyDescent="0.25">
      <c r="A126" s="73"/>
      <c r="B126" s="9" t="s">
        <v>135</v>
      </c>
      <c r="C126" s="9">
        <v>1.4</v>
      </c>
      <c r="D126" s="9">
        <v>90</v>
      </c>
      <c r="E126" s="9">
        <v>0</v>
      </c>
      <c r="F126" s="9">
        <v>90</v>
      </c>
      <c r="G126" s="70"/>
      <c r="H126" s="70"/>
    </row>
    <row r="127" spans="1:8" ht="15.75" thickBot="1" x14ac:dyDescent="0.3">
      <c r="A127" s="74"/>
      <c r="B127" s="10" t="s">
        <v>136</v>
      </c>
      <c r="C127" s="10">
        <v>0</v>
      </c>
      <c r="D127" s="10">
        <v>0</v>
      </c>
      <c r="E127" s="10">
        <v>0</v>
      </c>
      <c r="F127" s="10">
        <v>0</v>
      </c>
      <c r="G127" s="71"/>
      <c r="H127" s="71"/>
    </row>
    <row r="128" spans="1:8" x14ac:dyDescent="0.25">
      <c r="A128" s="72" t="s">
        <v>154</v>
      </c>
      <c r="B128" s="8" t="s">
        <v>134</v>
      </c>
      <c r="C128" s="8">
        <v>6</v>
      </c>
      <c r="D128" s="8">
        <v>0</v>
      </c>
      <c r="E128" s="8">
        <v>6</v>
      </c>
      <c r="F128" s="8">
        <v>0</v>
      </c>
      <c r="G128" s="69">
        <f t="shared" ref="G128" si="16">SQRT(E128^2+E129^2+E130^2)</f>
        <v>6</v>
      </c>
      <c r="H128" s="69">
        <v>0</v>
      </c>
    </row>
    <row r="129" spans="1:8" x14ac:dyDescent="0.25">
      <c r="A129" s="73"/>
      <c r="B129" s="9" t="s">
        <v>135</v>
      </c>
      <c r="C129" s="9">
        <v>1.4</v>
      </c>
      <c r="D129" s="9">
        <v>90</v>
      </c>
      <c r="E129" s="9">
        <v>0</v>
      </c>
      <c r="F129" s="9">
        <v>0</v>
      </c>
      <c r="G129" s="70"/>
      <c r="H129" s="70"/>
    </row>
    <row r="130" spans="1:8" ht="15.75" thickBot="1" x14ac:dyDescent="0.3">
      <c r="A130" s="74"/>
      <c r="B130" s="10" t="s">
        <v>136</v>
      </c>
      <c r="C130" s="10">
        <v>0</v>
      </c>
      <c r="D130" s="10">
        <v>0</v>
      </c>
      <c r="E130" s="10">
        <v>0</v>
      </c>
      <c r="F130" s="10">
        <v>0</v>
      </c>
      <c r="G130" s="71"/>
      <c r="H130" s="71"/>
    </row>
    <row r="131" spans="1:8" x14ac:dyDescent="0.25">
      <c r="A131" s="72" t="s">
        <v>166</v>
      </c>
      <c r="B131" s="8" t="s">
        <v>134</v>
      </c>
      <c r="C131" s="8">
        <v>6</v>
      </c>
      <c r="D131" s="8">
        <v>0</v>
      </c>
      <c r="E131" s="8">
        <v>0</v>
      </c>
      <c r="F131" s="8">
        <v>0</v>
      </c>
      <c r="G131" s="69">
        <f>SQRT(E131^2+E132^2+E133^2)</f>
        <v>0</v>
      </c>
      <c r="H131" s="69">
        <v>89.999999999999986</v>
      </c>
    </row>
    <row r="132" spans="1:8" x14ac:dyDescent="0.25">
      <c r="A132" s="73"/>
      <c r="B132" s="9" t="s">
        <v>135</v>
      </c>
      <c r="C132" s="9">
        <v>1.4</v>
      </c>
      <c r="D132" s="9">
        <v>0</v>
      </c>
      <c r="E132" s="9">
        <v>0</v>
      </c>
      <c r="F132" s="9">
        <v>90</v>
      </c>
      <c r="G132" s="70"/>
      <c r="H132" s="70"/>
    </row>
    <row r="133" spans="1:8" ht="15.75" thickBot="1" x14ac:dyDescent="0.3">
      <c r="A133" s="74"/>
      <c r="B133" s="10" t="s">
        <v>136</v>
      </c>
      <c r="C133" s="10">
        <v>0</v>
      </c>
      <c r="D133" s="10">
        <v>0</v>
      </c>
      <c r="E133" s="10">
        <v>0</v>
      </c>
      <c r="F133" s="10">
        <v>0</v>
      </c>
      <c r="G133" s="71"/>
      <c r="H133" s="71"/>
    </row>
    <row r="134" spans="1:8" x14ac:dyDescent="0.25">
      <c r="A134" s="25"/>
      <c r="B134" s="13"/>
      <c r="C134" s="13"/>
      <c r="D134" s="13"/>
      <c r="E134" s="13"/>
      <c r="F134" s="13"/>
      <c r="G134" s="44"/>
      <c r="H134" s="31"/>
    </row>
    <row r="135" spans="1:8" x14ac:dyDescent="0.25">
      <c r="A135" s="25"/>
      <c r="B135" s="13"/>
      <c r="C135" s="13"/>
      <c r="D135" s="13"/>
      <c r="E135" s="13"/>
      <c r="F135" s="13"/>
      <c r="G135" s="44"/>
      <c r="H135" s="31"/>
    </row>
    <row r="136" spans="1:8" x14ac:dyDescent="0.25">
      <c r="A136" s="25"/>
      <c r="B136" s="13"/>
      <c r="C136" s="13"/>
      <c r="D136" s="13"/>
      <c r="E136" s="13"/>
      <c r="F136" s="13"/>
      <c r="G136" s="44"/>
      <c r="H136" s="31"/>
    </row>
    <row r="137" spans="1:8" x14ac:dyDescent="0.25">
      <c r="A137" s="25"/>
      <c r="B137" s="13"/>
      <c r="C137" s="13"/>
      <c r="D137" s="13"/>
      <c r="E137" s="13"/>
      <c r="F137" s="13"/>
      <c r="G137" s="44"/>
      <c r="H137" s="31"/>
    </row>
    <row r="138" spans="1:8" x14ac:dyDescent="0.25">
      <c r="A138" s="25"/>
      <c r="B138" s="13"/>
      <c r="C138" s="13"/>
      <c r="D138" s="13"/>
      <c r="E138" s="13"/>
      <c r="F138" s="13"/>
      <c r="G138" s="44"/>
      <c r="H138" s="31"/>
    </row>
    <row r="139" spans="1:8" x14ac:dyDescent="0.25">
      <c r="A139" s="25"/>
      <c r="B139" s="13"/>
      <c r="C139" s="13"/>
      <c r="D139" s="13"/>
      <c r="E139" s="13"/>
      <c r="F139" s="13"/>
      <c r="G139" s="44"/>
      <c r="H139" s="31"/>
    </row>
    <row r="140" spans="1:8" x14ac:dyDescent="0.25">
      <c r="A140" s="25"/>
      <c r="B140" s="13"/>
      <c r="C140" s="13"/>
      <c r="D140" s="13"/>
      <c r="E140" s="13"/>
      <c r="F140" s="13"/>
      <c r="G140" s="44"/>
      <c r="H140" s="31"/>
    </row>
    <row r="141" spans="1:8" x14ac:dyDescent="0.25">
      <c r="A141" s="25"/>
      <c r="B141" s="13"/>
      <c r="C141" s="13"/>
      <c r="D141" s="13"/>
      <c r="E141" s="13"/>
      <c r="F141" s="13"/>
      <c r="G141" s="44"/>
      <c r="H141" s="31"/>
    </row>
    <row r="142" spans="1:8" x14ac:dyDescent="0.25">
      <c r="A142" s="25"/>
      <c r="B142" s="13"/>
      <c r="C142" s="13"/>
      <c r="D142" s="13"/>
      <c r="E142" s="13"/>
      <c r="F142" s="13"/>
      <c r="G142" s="44"/>
      <c r="H142" s="31"/>
    </row>
    <row r="143" spans="1:8" x14ac:dyDescent="0.25">
      <c r="A143" s="25"/>
      <c r="B143" s="13"/>
      <c r="C143" s="13"/>
      <c r="D143" s="13"/>
      <c r="E143" s="13"/>
      <c r="F143" s="13"/>
      <c r="G143" s="44"/>
      <c r="H143" s="31"/>
    </row>
    <row r="144" spans="1:8" x14ac:dyDescent="0.25">
      <c r="A144" s="25"/>
      <c r="B144" s="13"/>
      <c r="C144" s="13"/>
      <c r="D144" s="13"/>
      <c r="E144" s="13"/>
      <c r="F144" s="13"/>
      <c r="G144" s="44"/>
      <c r="H144" s="31"/>
    </row>
    <row r="145" spans="1:8" x14ac:dyDescent="0.25">
      <c r="A145" s="25"/>
      <c r="B145" s="13"/>
      <c r="C145" s="13"/>
      <c r="D145" s="13"/>
      <c r="E145" s="13"/>
      <c r="F145" s="13"/>
      <c r="G145" s="44"/>
      <c r="H145" s="31"/>
    </row>
    <row r="146" spans="1:8" x14ac:dyDescent="0.25">
      <c r="A146" s="25"/>
      <c r="B146" s="13"/>
      <c r="C146" s="13"/>
      <c r="D146" s="13"/>
      <c r="E146" s="13"/>
      <c r="F146" s="13"/>
      <c r="G146" s="44"/>
      <c r="H146" s="31"/>
    </row>
    <row r="147" spans="1:8" x14ac:dyDescent="0.25">
      <c r="A147" s="25"/>
      <c r="B147" s="13"/>
      <c r="C147" s="13"/>
      <c r="D147" s="13"/>
      <c r="E147" s="13"/>
      <c r="F147" s="13"/>
      <c r="G147" s="44"/>
      <c r="H147" s="31"/>
    </row>
    <row r="148" spans="1:8" x14ac:dyDescent="0.25">
      <c r="A148" s="25"/>
      <c r="B148" s="13"/>
      <c r="C148" s="13"/>
      <c r="D148" s="13"/>
      <c r="E148" s="13"/>
      <c r="F148" s="13"/>
      <c r="G148" s="44"/>
      <c r="H148" s="31"/>
    </row>
    <row r="149" spans="1:8" x14ac:dyDescent="0.25">
      <c r="A149" s="25"/>
      <c r="B149" s="13"/>
      <c r="C149" s="13"/>
      <c r="D149" s="13"/>
      <c r="E149" s="13"/>
      <c r="F149" s="13"/>
      <c r="G149" s="44"/>
      <c r="H149" s="31"/>
    </row>
    <row r="150" spans="1:8" x14ac:dyDescent="0.25">
      <c r="A150" s="25"/>
      <c r="B150" s="13"/>
      <c r="C150" s="13"/>
      <c r="D150" s="13"/>
      <c r="E150" s="13"/>
      <c r="F150" s="13"/>
      <c r="G150" s="44"/>
      <c r="H150" s="31"/>
    </row>
    <row r="151" spans="1:8" x14ac:dyDescent="0.25">
      <c r="A151" s="25"/>
      <c r="B151" s="13"/>
      <c r="C151" s="13"/>
      <c r="D151" s="13"/>
      <c r="E151" s="13"/>
      <c r="F151" s="13"/>
      <c r="G151" s="44"/>
      <c r="H151" s="31"/>
    </row>
    <row r="152" spans="1:8" x14ac:dyDescent="0.25">
      <c r="A152" s="25"/>
      <c r="B152" s="13"/>
      <c r="C152" s="13"/>
      <c r="D152" s="13"/>
      <c r="E152" s="13"/>
      <c r="F152" s="13"/>
      <c r="G152" s="44"/>
      <c r="H152" s="31"/>
    </row>
    <row r="153" spans="1:8" x14ac:dyDescent="0.25">
      <c r="A153" s="25"/>
      <c r="B153" s="13"/>
      <c r="C153" s="13"/>
      <c r="D153" s="13"/>
      <c r="E153" s="13"/>
      <c r="F153" s="13"/>
      <c r="G153" s="44"/>
      <c r="H153" s="31"/>
    </row>
    <row r="154" spans="1:8" x14ac:dyDescent="0.25">
      <c r="A154" s="25"/>
      <c r="B154" s="13"/>
      <c r="C154" s="13"/>
      <c r="D154" s="13"/>
      <c r="E154" s="13"/>
      <c r="F154" s="13"/>
      <c r="G154" s="44"/>
      <c r="H154" s="31"/>
    </row>
    <row r="155" spans="1:8" x14ac:dyDescent="0.25">
      <c r="A155" s="25"/>
      <c r="B155" s="13"/>
      <c r="C155" s="13"/>
      <c r="D155" s="13"/>
      <c r="E155" s="13"/>
      <c r="F155" s="13"/>
      <c r="G155" s="44"/>
      <c r="H155" s="31"/>
    </row>
    <row r="156" spans="1:8" x14ac:dyDescent="0.25">
      <c r="A156" s="25"/>
      <c r="B156" s="13"/>
      <c r="C156" s="13"/>
      <c r="D156" s="13"/>
      <c r="E156" s="13"/>
      <c r="F156" s="13"/>
      <c r="G156" s="44"/>
      <c r="H156" s="31"/>
    </row>
    <row r="157" spans="1:8" x14ac:dyDescent="0.25">
      <c r="A157" s="25"/>
      <c r="B157" s="13"/>
      <c r="C157" s="13"/>
      <c r="D157" s="13"/>
      <c r="E157" s="13"/>
      <c r="F157" s="13"/>
      <c r="G157" s="44"/>
      <c r="H157" s="31"/>
    </row>
    <row r="158" spans="1:8" x14ac:dyDescent="0.25">
      <c r="A158" s="25"/>
      <c r="B158" s="13"/>
      <c r="C158" s="13"/>
      <c r="D158" s="13"/>
      <c r="E158" s="13"/>
      <c r="F158" s="13"/>
      <c r="G158" s="44"/>
      <c r="H158" s="31"/>
    </row>
    <row r="159" spans="1:8" x14ac:dyDescent="0.25">
      <c r="A159" s="25"/>
      <c r="B159" s="13"/>
      <c r="C159" s="13"/>
      <c r="D159" s="13"/>
      <c r="E159" s="13"/>
      <c r="F159" s="13"/>
      <c r="G159" s="44"/>
      <c r="H159" s="31"/>
    </row>
    <row r="160" spans="1:8" x14ac:dyDescent="0.25">
      <c r="A160" s="25"/>
      <c r="B160" s="13"/>
      <c r="C160" s="13"/>
      <c r="D160" s="13"/>
      <c r="E160" s="13"/>
      <c r="F160" s="13"/>
      <c r="G160" s="44"/>
      <c r="H160" s="31"/>
    </row>
  </sheetData>
  <sheetProtection selectLockedCells="1" selectUnlockedCells="1"/>
  <mergeCells count="117">
    <mergeCell ref="A35:F35"/>
    <mergeCell ref="A36:F36"/>
    <mergeCell ref="A38:F38"/>
    <mergeCell ref="A9:C9"/>
    <mergeCell ref="A13:F13"/>
    <mergeCell ref="A14:F14"/>
    <mergeCell ref="A15:F15"/>
    <mergeCell ref="A16:F16"/>
    <mergeCell ref="A12:F12"/>
    <mergeCell ref="A17:F17"/>
    <mergeCell ref="A30:F30"/>
    <mergeCell ref="A24:F24"/>
    <mergeCell ref="A25:F25"/>
    <mergeCell ref="A26:F26"/>
    <mergeCell ref="A27:F27"/>
    <mergeCell ref="A28:F28"/>
    <mergeCell ref="A29:F29"/>
    <mergeCell ref="A18:F18"/>
    <mergeCell ref="A19:F19"/>
    <mergeCell ref="A20:F20"/>
    <mergeCell ref="A21:F21"/>
    <mergeCell ref="A22:F22"/>
    <mergeCell ref="A23:F23"/>
    <mergeCell ref="A41:F41"/>
    <mergeCell ref="A42:F42"/>
    <mergeCell ref="A43:F43"/>
    <mergeCell ref="A44:F44"/>
    <mergeCell ref="A51:F51"/>
    <mergeCell ref="A52:F52"/>
    <mergeCell ref="A53:F53"/>
    <mergeCell ref="A37:F37"/>
    <mergeCell ref="A45:F45"/>
    <mergeCell ref="A46:F46"/>
    <mergeCell ref="A47:F47"/>
    <mergeCell ref="A48:F48"/>
    <mergeCell ref="A49:F49"/>
    <mergeCell ref="A50:F50"/>
    <mergeCell ref="A102:A104"/>
    <mergeCell ref="A82:A84"/>
    <mergeCell ref="A85:A87"/>
    <mergeCell ref="A89:B89"/>
    <mergeCell ref="A79:A81"/>
    <mergeCell ref="A39:F39"/>
    <mergeCell ref="A40:F40"/>
    <mergeCell ref="A1:F1"/>
    <mergeCell ref="A2:F2"/>
    <mergeCell ref="A3:F3"/>
    <mergeCell ref="A4:F4"/>
    <mergeCell ref="A5:F5"/>
    <mergeCell ref="A6:F6"/>
    <mergeCell ref="A7:F7"/>
    <mergeCell ref="A8:F8"/>
    <mergeCell ref="A31:F31"/>
    <mergeCell ref="A32:F32"/>
    <mergeCell ref="A33:F33"/>
    <mergeCell ref="A66:B66"/>
    <mergeCell ref="A67:A69"/>
    <mergeCell ref="A70:A72"/>
    <mergeCell ref="A73:A75"/>
    <mergeCell ref="A76:A78"/>
    <mergeCell ref="A34:F34"/>
    <mergeCell ref="G67:G69"/>
    <mergeCell ref="H67:H69"/>
    <mergeCell ref="G70:G72"/>
    <mergeCell ref="H70:H72"/>
    <mergeCell ref="G73:G75"/>
    <mergeCell ref="H73:H75"/>
    <mergeCell ref="A128:A130"/>
    <mergeCell ref="A131:A133"/>
    <mergeCell ref="A110:A112"/>
    <mergeCell ref="A113:A115"/>
    <mergeCell ref="A116:A118"/>
    <mergeCell ref="A119:A121"/>
    <mergeCell ref="A122:A124"/>
    <mergeCell ref="A125:A127"/>
    <mergeCell ref="G76:G78"/>
    <mergeCell ref="G96:G98"/>
    <mergeCell ref="G113:G115"/>
    <mergeCell ref="G131:G133"/>
    <mergeCell ref="A106:B106"/>
    <mergeCell ref="A107:A109"/>
    <mergeCell ref="A90:A92"/>
    <mergeCell ref="A93:A95"/>
    <mergeCell ref="A96:A98"/>
    <mergeCell ref="A99:A101"/>
    <mergeCell ref="G85:G87"/>
    <mergeCell ref="H85:H87"/>
    <mergeCell ref="G90:G92"/>
    <mergeCell ref="H90:H92"/>
    <mergeCell ref="G93:G95"/>
    <mergeCell ref="H93:H95"/>
    <mergeCell ref="H76:H78"/>
    <mergeCell ref="G79:G81"/>
    <mergeCell ref="H79:H81"/>
    <mergeCell ref="G82:G84"/>
    <mergeCell ref="H82:H84"/>
    <mergeCell ref="G107:G109"/>
    <mergeCell ref="H107:H109"/>
    <mergeCell ref="G110:G112"/>
    <mergeCell ref="H110:H112"/>
    <mergeCell ref="H96:H98"/>
    <mergeCell ref="G99:G101"/>
    <mergeCell ref="H99:H101"/>
    <mergeCell ref="G102:G104"/>
    <mergeCell ref="H102:H104"/>
    <mergeCell ref="H131:H133"/>
    <mergeCell ref="G122:G124"/>
    <mergeCell ref="H122:H124"/>
    <mergeCell ref="G125:G127"/>
    <mergeCell ref="H125:H127"/>
    <mergeCell ref="G128:G130"/>
    <mergeCell ref="H128:H130"/>
    <mergeCell ref="H113:H115"/>
    <mergeCell ref="G116:G118"/>
    <mergeCell ref="H116:H118"/>
    <mergeCell ref="G119:G121"/>
    <mergeCell ref="H119:H121"/>
  </mergeCells>
  <pageMargins left="0.7" right="0.7" top="0.78749999999999998" bottom="0.78749999999999998" header="0.51180555555555551" footer="0.51180555555555551"/>
  <pageSetup firstPageNumber="0"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R316"/>
  <sheetViews>
    <sheetView topLeftCell="E266" zoomScale="85" zoomScaleNormal="85" workbookViewId="0">
      <selection activeCell="Q272" sqref="Q272:Q274"/>
    </sheetView>
  </sheetViews>
  <sheetFormatPr baseColWidth="10" defaultColWidth="9" defaultRowHeight="15" x14ac:dyDescent="0.25"/>
  <cols>
    <col min="1" max="1" width="31.5703125" style="1" customWidth="1"/>
    <col min="2" max="2" width="33.5703125" style="1" customWidth="1"/>
    <col min="3" max="3" width="9" style="1"/>
    <col min="4" max="4" width="12.28515625" style="1" customWidth="1"/>
    <col min="5" max="5" width="9.42578125" style="1" customWidth="1"/>
    <col min="6" max="6" width="13.5703125" style="1" customWidth="1"/>
    <col min="7" max="7" width="23.28515625" style="1" customWidth="1"/>
    <col min="8" max="9" width="18.5703125" style="1" customWidth="1"/>
    <col min="10" max="10" width="16.28515625" style="1" customWidth="1"/>
    <col min="11" max="11" width="22.42578125" style="1" customWidth="1"/>
    <col min="12" max="12" width="17" style="1" customWidth="1"/>
    <col min="13" max="13" width="20.85546875" style="1" customWidth="1"/>
    <col min="14" max="14" width="16.28515625" style="1" customWidth="1"/>
    <col min="15" max="15" width="22.42578125" style="1" customWidth="1"/>
    <col min="16" max="16" width="16.85546875" style="1" customWidth="1"/>
    <col min="17" max="17" width="21.140625" style="1" customWidth="1"/>
    <col min="18" max="16384" width="9" style="1"/>
  </cols>
  <sheetData>
    <row r="1" spans="1:17" x14ac:dyDescent="0.25">
      <c r="A1" s="2" t="s">
        <v>47</v>
      </c>
      <c r="D1" s="2" t="s">
        <v>48</v>
      </c>
      <c r="K1" s="104" t="s">
        <v>115</v>
      </c>
      <c r="L1" s="104"/>
    </row>
    <row r="2" spans="1:17" x14ac:dyDescent="0.25">
      <c r="D2" s="4"/>
    </row>
    <row r="3" spans="1:17" x14ac:dyDescent="0.25">
      <c r="A3" s="2" t="s">
        <v>49</v>
      </c>
      <c r="D3" s="1" t="s">
        <v>50</v>
      </c>
      <c r="K3" s="58" t="s">
        <v>184</v>
      </c>
      <c r="L3" s="57">
        <v>0.2</v>
      </c>
    </row>
    <row r="4" spans="1:17" x14ac:dyDescent="0.25">
      <c r="A4" s="1" t="s">
        <v>101</v>
      </c>
      <c r="D4" s="1" t="s">
        <v>76</v>
      </c>
      <c r="K4" s="58" t="s">
        <v>183</v>
      </c>
      <c r="L4" s="57">
        <v>0.3</v>
      </c>
    </row>
    <row r="5" spans="1:17" x14ac:dyDescent="0.25">
      <c r="A5" s="2"/>
      <c r="D5" s="1" t="s">
        <v>77</v>
      </c>
    </row>
    <row r="7" spans="1:17" x14ac:dyDescent="0.25">
      <c r="A7" s="6" t="s">
        <v>88</v>
      </c>
      <c r="D7" s="1" t="s">
        <v>78</v>
      </c>
    </row>
    <row r="8" spans="1:17" x14ac:dyDescent="0.25">
      <c r="A8" s="1" t="s">
        <v>95</v>
      </c>
      <c r="B8" s="1" t="s">
        <v>90</v>
      </c>
    </row>
    <row r="9" spans="1:17" x14ac:dyDescent="0.25">
      <c r="B9" s="1" t="s">
        <v>86</v>
      </c>
    </row>
    <row r="10" spans="1:17" x14ac:dyDescent="0.25">
      <c r="B10" s="1" t="s">
        <v>89</v>
      </c>
      <c r="D10" s="27" t="s">
        <v>161</v>
      </c>
      <c r="E10" s="27"/>
      <c r="F10" s="27"/>
    </row>
    <row r="11" spans="1:17" ht="15.75" thickBot="1" x14ac:dyDescent="0.3">
      <c r="A11" s="1" t="s">
        <v>96</v>
      </c>
      <c r="B11" s="1" t="s">
        <v>84</v>
      </c>
      <c r="D11" s="15" t="s">
        <v>133</v>
      </c>
      <c r="E11" s="15"/>
      <c r="F11" s="15"/>
    </row>
    <row r="12" spans="1:17" ht="15.75" thickBot="1" x14ac:dyDescent="0.3">
      <c r="A12" s="1" t="s">
        <v>97</v>
      </c>
      <c r="B12" s="1" t="s">
        <v>85</v>
      </c>
      <c r="D12" s="75" t="s">
        <v>140</v>
      </c>
      <c r="E12" s="76"/>
      <c r="F12" s="12" t="s">
        <v>137</v>
      </c>
      <c r="G12" s="23" t="s">
        <v>197</v>
      </c>
      <c r="H12" s="16" t="s">
        <v>178</v>
      </c>
      <c r="I12" s="65" t="s">
        <v>179</v>
      </c>
      <c r="J12" s="16" t="s">
        <v>143</v>
      </c>
      <c r="K12" s="12" t="s">
        <v>168</v>
      </c>
      <c r="L12" s="23" t="s">
        <v>144</v>
      </c>
      <c r="M12" s="12" t="s">
        <v>167</v>
      </c>
      <c r="N12" s="16" t="s">
        <v>141</v>
      </c>
      <c r="O12" s="16" t="s">
        <v>171</v>
      </c>
      <c r="P12" s="23" t="s">
        <v>142</v>
      </c>
      <c r="Q12" s="23" t="s">
        <v>172</v>
      </c>
    </row>
    <row r="13" spans="1:17" x14ac:dyDescent="0.25">
      <c r="A13" s="1" t="s">
        <v>63</v>
      </c>
      <c r="B13" s="1" t="s">
        <v>87</v>
      </c>
      <c r="D13" s="72" t="s">
        <v>133</v>
      </c>
      <c r="E13" s="9" t="s">
        <v>134</v>
      </c>
      <c r="F13" s="17">
        <v>5.9980000000000002</v>
      </c>
      <c r="G13" s="48">
        <v>1.05</v>
      </c>
      <c r="H13" s="86">
        <v>0</v>
      </c>
      <c r="I13" s="89">
        <v>0</v>
      </c>
      <c r="J13" s="17">
        <f>'Intel T265'!F13-'Experimental Procedure'!$C$67</f>
        <v>-1.9999999999997797E-3</v>
      </c>
      <c r="K13" s="95">
        <f>SQRT(J13^2+J14^2+J15^2)</f>
        <v>1.7088007490635045E-2</v>
      </c>
      <c r="L13" s="48">
        <f>IF('Intel T265'!G13-'Experimental Procedure'!D67&lt;-180,'Intel T265'!G13-'Experimental Procedure'!D67 + 360,IF('Intel T265'!G13-'Experimental Procedure'!D67&gt;180,'Intel T265'!G13-'Experimental Procedure'!D67 - 360,'Intel T265'!G13-'Experimental Procedure'!D67))</f>
        <v>1.05</v>
      </c>
      <c r="M13" s="106">
        <v>1.2596574636549416</v>
      </c>
      <c r="N13" s="51" t="str">
        <f>IF('Experimental Procedure'!E67=0,"NaN",J13/'Experimental Procedure'!E67*100)</f>
        <v>NaN</v>
      </c>
      <c r="O13" s="92" t="str">
        <f>IF('Experimental Procedure'!G67=0,"NaN",'Intel T265'!K13/'Experimental Procedure'!G67*100)</f>
        <v>NaN</v>
      </c>
      <c r="P13" s="51" t="str">
        <f>IF('Experimental Procedure'!F67=0,"NaN",L13/'Experimental Procedure'!F67*100)</f>
        <v>NaN</v>
      </c>
      <c r="Q13" s="109" t="str">
        <f>IF('Experimental Procedure'!$H$67=0,"NaN",'Intel T265'!M13/'Experimental Procedure'!$H$67*100)</f>
        <v>NaN</v>
      </c>
    </row>
    <row r="14" spans="1:17" x14ac:dyDescent="0.25">
      <c r="D14" s="73"/>
      <c r="E14" s="9" t="s">
        <v>135</v>
      </c>
      <c r="F14" s="19">
        <v>1.4119999999999999</v>
      </c>
      <c r="G14" s="49">
        <v>0.39400000000000002</v>
      </c>
      <c r="H14" s="87"/>
      <c r="I14" s="90"/>
      <c r="J14" s="19">
        <f>'Intel T265'!F14-'Experimental Procedure'!C68</f>
        <v>1.2000000000000011E-2</v>
      </c>
      <c r="K14" s="96"/>
      <c r="L14" s="49">
        <f>IF('Intel T265'!G14-'Experimental Procedure'!D68&lt;-180,'Intel T265'!G14-'Experimental Procedure'!D68 + 360,IF('Intel T265'!G14-'Experimental Procedure'!D68&gt;180,'Intel T265'!G14-'Experimental Procedure'!D68 - 360,'Intel T265'!G14-'Experimental Procedure'!D68))</f>
        <v>0.39400000000000002</v>
      </c>
      <c r="M14" s="107"/>
      <c r="N14" s="52" t="str">
        <f>IF('Experimental Procedure'!E68=0,"NaN",J14/'Experimental Procedure'!E68*100)</f>
        <v>NaN</v>
      </c>
      <c r="O14" s="93"/>
      <c r="P14" s="52" t="str">
        <f>IF('Experimental Procedure'!F68=0,"NaN",L14/'Experimental Procedure'!F68*100)</f>
        <v>NaN</v>
      </c>
      <c r="Q14" s="110"/>
    </row>
    <row r="15" spans="1:17" ht="15.75" thickBot="1" x14ac:dyDescent="0.3">
      <c r="A15" s="6" t="s">
        <v>93</v>
      </c>
      <c r="D15" s="74"/>
      <c r="E15" s="10" t="s">
        <v>136</v>
      </c>
      <c r="F15" s="21">
        <v>-1.2E-2</v>
      </c>
      <c r="G15" s="50">
        <v>359.43</v>
      </c>
      <c r="H15" s="88"/>
      <c r="I15" s="91"/>
      <c r="J15" s="21">
        <f>'Intel T265'!F15-'Experimental Procedure'!C69</f>
        <v>-1.2E-2</v>
      </c>
      <c r="K15" s="97"/>
      <c r="L15" s="50">
        <f>IF('Intel T265'!G15-'Experimental Procedure'!D69&lt;-180,'Intel T265'!G15-'Experimental Procedure'!D69 + 360,IF('Intel T265'!G15-'Experimental Procedure'!D69&gt;180,'Intel T265'!G15-'Experimental Procedure'!D69 - 360,'Intel T265'!G15-'Experimental Procedure'!D69))</f>
        <v>-0.56999999999999318</v>
      </c>
      <c r="M15" s="108"/>
      <c r="N15" s="53" t="str">
        <f>IF('Experimental Procedure'!E69=0,"NaN",J15/'Experimental Procedure'!E69*100)</f>
        <v>NaN</v>
      </c>
      <c r="O15" s="94"/>
      <c r="P15" s="53" t="str">
        <f>IF('Experimental Procedure'!F69=0,"NaN",L15/'Experimental Procedure'!F69*100)</f>
        <v>NaN</v>
      </c>
      <c r="Q15" s="111"/>
    </row>
    <row r="16" spans="1:17" x14ac:dyDescent="0.25">
      <c r="A16" s="1" t="s">
        <v>92</v>
      </c>
      <c r="D16" s="72" t="s">
        <v>148</v>
      </c>
      <c r="E16" s="8" t="s">
        <v>134</v>
      </c>
      <c r="F16" s="17">
        <v>6.0220000000000002</v>
      </c>
      <c r="G16" s="48">
        <v>5.3290410000000001</v>
      </c>
      <c r="H16" s="86">
        <f>SQRT((F13-F16)^2+(F14-F17)^2+(F15-F18)^2)</f>
        <v>6.6584070179874125E-2</v>
      </c>
      <c r="I16" s="89">
        <v>355.37283069152215</v>
      </c>
      <c r="J16" s="17">
        <f>'Intel T265'!F16-'Experimental Procedure'!C70</f>
        <v>2.2000000000000242E-2</v>
      </c>
      <c r="K16" s="86">
        <f t="shared" ref="K16" si="0">SQRT(J16^2+J17^2+J18^2)</f>
        <v>5.9288984488844253E-2</v>
      </c>
      <c r="L16" s="48">
        <f>IF('Intel T265'!G16-'Experimental Procedure'!D70&lt;-180,'Intel T265'!G16-'Experimental Procedure'!D70 + 360,IF('Intel T265'!G16-'Experimental Procedure'!D70&gt;180,'Intel T265'!G16-'Experimental Procedure'!D70 - 360,'Intel T265'!G16-'Experimental Procedure'!D70))</f>
        <v>5.3290410000000001</v>
      </c>
      <c r="M16" s="89">
        <v>5.4413323465765115</v>
      </c>
      <c r="N16" s="51" t="str">
        <f>IF('Experimental Procedure'!E70=0,"NaN",J16/'Experimental Procedure'!E70*100)</f>
        <v>NaN</v>
      </c>
      <c r="O16" s="98" t="str">
        <f>IF('Experimental Procedure'!G70=0,"NaN",'Intel T265'!K16/'Experimental Procedure'!G70*100)</f>
        <v>NaN</v>
      </c>
      <c r="P16" s="51">
        <f>IF('Experimental Procedure'!F70=0,"NaN",L16/'Experimental Procedure'!F70*100)</f>
        <v>1.4802891666666667</v>
      </c>
      <c r="Q16" s="109">
        <f>IF('Experimental Procedure'!$H$70=0,"NaN",'Intel T265'!M16/'Experimental Procedure'!$H$70*100)</f>
        <v>1.5114812073823642</v>
      </c>
    </row>
    <row r="17" spans="1:17" x14ac:dyDescent="0.25">
      <c r="D17" s="73"/>
      <c r="E17" s="9" t="s">
        <v>135</v>
      </c>
      <c r="F17" s="19">
        <v>1.426067</v>
      </c>
      <c r="G17" s="49">
        <v>359.0224</v>
      </c>
      <c r="H17" s="87"/>
      <c r="I17" s="90"/>
      <c r="J17" s="19">
        <f>'Intel T265'!F17-'Experimental Procedure'!C71</f>
        <v>2.6067000000000062E-2</v>
      </c>
      <c r="K17" s="87"/>
      <c r="L17" s="49">
        <f>IF('Intel T265'!G17-'Experimental Procedure'!D71&lt;-180,'Intel T265'!G17-'Experimental Procedure'!D71 + 360,IF('Intel T265'!G17-'Experimental Procedure'!D71&gt;180,'Intel T265'!G17-'Experimental Procedure'!D71 - 360,'Intel T265'!G17-'Experimental Procedure'!D71))</f>
        <v>-0.97759999999999536</v>
      </c>
      <c r="M17" s="90"/>
      <c r="N17" s="52" t="str">
        <f>IF('Experimental Procedure'!E71=0,"NaN",J17/'Experimental Procedure'!E71*100)</f>
        <v>NaN</v>
      </c>
      <c r="O17" s="99"/>
      <c r="P17" s="52" t="str">
        <f>IF('Experimental Procedure'!F71=0,"NaN",L17/'Experimental Procedure'!F71*100)</f>
        <v>NaN</v>
      </c>
      <c r="Q17" s="110"/>
    </row>
    <row r="18" spans="1:17" ht="15.75" thickBot="1" x14ac:dyDescent="0.3">
      <c r="A18" s="6" t="s">
        <v>91</v>
      </c>
      <c r="D18" s="74"/>
      <c r="E18" s="10" t="s">
        <v>136</v>
      </c>
      <c r="F18" s="21">
        <v>4.8494280000000001E-2</v>
      </c>
      <c r="G18" s="50">
        <v>0.46112599999999998</v>
      </c>
      <c r="H18" s="88"/>
      <c r="I18" s="91"/>
      <c r="J18" s="21">
        <f>'Intel T265'!F18-'Experimental Procedure'!C72</f>
        <v>4.8494280000000001E-2</v>
      </c>
      <c r="K18" s="88"/>
      <c r="L18" s="50">
        <f>IF('Intel T265'!G18-'Experimental Procedure'!D72&lt;-180,'Intel T265'!G18-'Experimental Procedure'!D72 + 360,IF('Intel T265'!G18-'Experimental Procedure'!D72&gt;180,'Intel T265'!G18-'Experimental Procedure'!D72 - 360,'Intel T265'!G18-'Experimental Procedure'!D72))</f>
        <v>0.46112599999999998</v>
      </c>
      <c r="M18" s="91"/>
      <c r="N18" s="53" t="str">
        <f>IF('Experimental Procedure'!E72=0,"NaN",J18/'Experimental Procedure'!E72*100)</f>
        <v>NaN</v>
      </c>
      <c r="O18" s="100"/>
      <c r="P18" s="53" t="str">
        <f>IF('Experimental Procedure'!F72=0,"NaN",L18/'Experimental Procedure'!F72*100)</f>
        <v>NaN</v>
      </c>
      <c r="Q18" s="111"/>
    </row>
    <row r="19" spans="1:17" x14ac:dyDescent="0.25">
      <c r="A19" s="1" t="s">
        <v>67</v>
      </c>
      <c r="B19" s="1" t="s">
        <v>81</v>
      </c>
      <c r="D19" s="72" t="s">
        <v>149</v>
      </c>
      <c r="E19" s="8" t="s">
        <v>134</v>
      </c>
      <c r="F19" s="17">
        <v>6.0009459999999999</v>
      </c>
      <c r="G19" s="48">
        <v>6.4557039999999999</v>
      </c>
      <c r="H19" s="86">
        <f>SQRT((F16-F19)^2+(F17-F20)^2+(F18-F21)^2)</f>
        <v>3.2259861630478413E-2</v>
      </c>
      <c r="I19" s="89">
        <v>358.52749374362617</v>
      </c>
      <c r="J19" s="17">
        <f>'Intel T265'!F19-'Experimental Procedure'!C73</f>
        <v>9.4599999999989137E-4</v>
      </c>
      <c r="K19" s="86">
        <f t="shared" ref="K19" si="1">SQRT(J19^2+J20^2+J21^2)</f>
        <v>3.2225497001002287E-2</v>
      </c>
      <c r="L19" s="48">
        <f>IF('Intel T265'!G19-'Experimental Procedure'!D73&lt;-180,'Intel T265'!G19-'Experimental Procedure'!D73 + 360,IF('Intel T265'!G19-'Experimental Procedure'!D73&gt;180,'Intel T265'!G19-'Experimental Procedure'!D73 - 360,'Intel T265'!G19-'Experimental Procedure'!D73))</f>
        <v>6.4557039999999999</v>
      </c>
      <c r="M19" s="89">
        <v>6.5726766590183034</v>
      </c>
      <c r="N19" s="51" t="str">
        <f>IF('Experimental Procedure'!E73=0,"NaN",J19/'Experimental Procedure'!E73*100)</f>
        <v>NaN</v>
      </c>
      <c r="O19" s="98" t="str">
        <f>IF('Experimental Procedure'!G73=0,"NaN",'Intel T265'!K19/'Experimental Procedure'!G73*100)</f>
        <v>NaN</v>
      </c>
      <c r="P19" s="51" t="str">
        <f>IF('Experimental Procedure'!F73=0,"NaN",L19/'Experimental Procedure'!F73*100)</f>
        <v>NaN</v>
      </c>
      <c r="Q19" s="109">
        <f>IF('Experimental Procedure'!$H$73=0,"NaN",'Intel T265'!M19/'Experimental Procedure'!$H$73*100)</f>
        <v>1.8257435163939733</v>
      </c>
    </row>
    <row r="20" spans="1:17" x14ac:dyDescent="0.25">
      <c r="A20" s="1" t="s">
        <v>69</v>
      </c>
      <c r="B20" s="1" t="s">
        <v>82</v>
      </c>
      <c r="D20" s="73"/>
      <c r="E20" s="9" t="s">
        <v>135</v>
      </c>
      <c r="F20" s="19">
        <v>1.4207510000000001</v>
      </c>
      <c r="G20" s="49">
        <v>359.71319999999997</v>
      </c>
      <c r="H20" s="87"/>
      <c r="I20" s="90"/>
      <c r="J20" s="19">
        <f>'Intel T265'!F20-'Experimental Procedure'!C74</f>
        <v>2.0751000000000186E-2</v>
      </c>
      <c r="K20" s="87"/>
      <c r="L20" s="49">
        <f>IF('Intel T265'!G20-'Experimental Procedure'!D74&lt;-180,'Intel T265'!G20-'Experimental Procedure'!D74 + 360,IF('Intel T265'!G20-'Experimental Procedure'!D74&gt;180,'Intel T265'!G20-'Experimental Procedure'!D74 - 360,'Intel T265'!G20-'Experimental Procedure'!D74))</f>
        <v>-0.28680000000002792</v>
      </c>
      <c r="M20" s="90"/>
      <c r="N20" s="52" t="str">
        <f>IF('Experimental Procedure'!E74=0,"NaN",J20/'Experimental Procedure'!E74*100)</f>
        <v>NaN</v>
      </c>
      <c r="O20" s="99"/>
      <c r="P20" s="52" t="str">
        <f>IF('Experimental Procedure'!F74=0,"NaN",L20/'Experimental Procedure'!F74*100)</f>
        <v>NaN</v>
      </c>
      <c r="Q20" s="110"/>
    </row>
    <row r="21" spans="1:17" ht="15.75" thickBot="1" x14ac:dyDescent="0.3">
      <c r="A21" s="1" t="s">
        <v>70</v>
      </c>
      <c r="B21" s="1" t="s">
        <v>80</v>
      </c>
      <c r="D21" s="74"/>
      <c r="E21" s="10" t="s">
        <v>136</v>
      </c>
      <c r="F21" s="21">
        <v>2.4637039999999999E-2</v>
      </c>
      <c r="G21" s="50">
        <v>1.1853199999999999</v>
      </c>
      <c r="H21" s="88"/>
      <c r="I21" s="91"/>
      <c r="J21" s="21">
        <f>'Intel T265'!F21-'Experimental Procedure'!C75</f>
        <v>2.4637039999999999E-2</v>
      </c>
      <c r="K21" s="88"/>
      <c r="L21" s="50">
        <f>IF('Intel T265'!G21-'Experimental Procedure'!D75&lt;-180,'Intel T265'!G21-'Experimental Procedure'!D75 + 360,IF('Intel T265'!G21-'Experimental Procedure'!D75&gt;180,'Intel T265'!G21-'Experimental Procedure'!D75 - 360,'Intel T265'!G21-'Experimental Procedure'!D75))</f>
        <v>1.1853199999999999</v>
      </c>
      <c r="M21" s="91"/>
      <c r="N21" s="53" t="str">
        <f>IF('Experimental Procedure'!E75=0,"NaN",J21/'Experimental Procedure'!E75*100)</f>
        <v>NaN</v>
      </c>
      <c r="O21" s="100"/>
      <c r="P21" s="53">
        <f>IF('Experimental Procedure'!F75=0,"NaN",L21/'Experimental Procedure'!F75*100)</f>
        <v>0.32925555555555552</v>
      </c>
      <c r="Q21" s="111"/>
    </row>
    <row r="22" spans="1:17" x14ac:dyDescent="0.25">
      <c r="A22" s="1" t="s">
        <v>71</v>
      </c>
      <c r="D22" s="72" t="s">
        <v>150</v>
      </c>
      <c r="E22" s="9" t="s">
        <v>134</v>
      </c>
      <c r="F22" s="17">
        <v>6.0106320000000002</v>
      </c>
      <c r="G22" s="48">
        <v>8.9418550000000003</v>
      </c>
      <c r="H22" s="86">
        <f>SQRT((F19-F22)^2+(F20-F23)^2+(F21-F24)^2)</f>
        <v>5.4703137471720883E-2</v>
      </c>
      <c r="I22" s="89">
        <v>365.93194429372767</v>
      </c>
      <c r="J22" s="17">
        <f>'Intel T265'!F22-'Experimental Procedure'!C76</f>
        <v>1.0632000000000197E-2</v>
      </c>
      <c r="K22" s="86">
        <f t="shared" ref="K22" si="2">SQRT(J22^2+J23^2+J24^2)</f>
        <v>8.6298386942813762E-2</v>
      </c>
      <c r="L22" s="48">
        <f>IF('Intel T265'!G22-'Experimental Procedure'!D76&lt;-180,'Intel T265'!G22-'Experimental Procedure'!D76 + 360,IF('Intel T265'!G22-'Experimental Procedure'!D76&gt;180,'Intel T265'!G22-'Experimental Procedure'!D76 - 360,'Intel T265'!G22-'Experimental Procedure'!D76))</f>
        <v>8.9418550000000003</v>
      </c>
      <c r="M22" s="89">
        <v>10.554462831933352</v>
      </c>
      <c r="N22" s="51" t="str">
        <f>IF('Experimental Procedure'!E76=0,"NaN",J22/'Experimental Procedure'!E76*100)</f>
        <v>NaN</v>
      </c>
      <c r="O22" s="98" t="str">
        <f>IF('Experimental Procedure'!G76=0,"NaN",'Intel T265'!K22/'Experimental Procedure'!G76*100)</f>
        <v>NaN</v>
      </c>
      <c r="P22" s="51" t="str">
        <f>IF('Experimental Procedure'!F76=0,"NaN",L22/'Experimental Procedure'!F76*100)</f>
        <v>NaN</v>
      </c>
      <c r="Q22" s="109">
        <f>IF('Experimental Procedure'!$H$76=0,"NaN",'Intel T265'!M22/'Experimental Procedure'!$H$76*100)</f>
        <v>2.9317952310925977</v>
      </c>
    </row>
    <row r="23" spans="1:17" x14ac:dyDescent="0.25">
      <c r="A23" s="1" t="s">
        <v>83</v>
      </c>
      <c r="D23" s="73"/>
      <c r="E23" s="9" t="s">
        <v>135</v>
      </c>
      <c r="F23" s="19">
        <v>1.4629799999999999</v>
      </c>
      <c r="G23" s="49">
        <v>354.37049999999999</v>
      </c>
      <c r="H23" s="87"/>
      <c r="I23" s="90"/>
      <c r="J23" s="19">
        <f>'Intel T265'!F23-'Experimental Procedure'!C77</f>
        <v>6.2980000000000036E-2</v>
      </c>
      <c r="K23" s="87"/>
      <c r="L23" s="49">
        <f>IF('Intel T265'!G23-'Experimental Procedure'!D77&lt;-180,'Intel T265'!G23-'Experimental Procedure'!D77 + 360,IF('Intel T265'!G23-'Experimental Procedure'!D77&gt;180,'Intel T265'!G23-'Experimental Procedure'!D77 - 360,'Intel T265'!G23-'Experimental Procedure'!D77))</f>
        <v>-5.6295000000000073</v>
      </c>
      <c r="M23" s="90"/>
      <c r="N23" s="52" t="str">
        <f>IF('Experimental Procedure'!E77=0,"NaN",J23/'Experimental Procedure'!E77*100)</f>
        <v>NaN</v>
      </c>
      <c r="O23" s="99"/>
      <c r="P23" s="52">
        <f>IF('Experimental Procedure'!F77=0,"NaN",L23/'Experimental Procedure'!F77*100)</f>
        <v>1.563750000000002</v>
      </c>
      <c r="Q23" s="110"/>
    </row>
    <row r="24" spans="1:17" ht="15.75" thickBot="1" x14ac:dyDescent="0.3">
      <c r="A24" s="2" t="s">
        <v>73</v>
      </c>
      <c r="B24" s="2" t="s">
        <v>106</v>
      </c>
      <c r="D24" s="74"/>
      <c r="E24" s="10" t="s">
        <v>136</v>
      </c>
      <c r="F24" s="21">
        <v>5.8033540000000002E-2</v>
      </c>
      <c r="G24" s="50">
        <v>359.47859999999997</v>
      </c>
      <c r="H24" s="88"/>
      <c r="I24" s="91"/>
      <c r="J24" s="21">
        <f>'Intel T265'!F24-'Experimental Procedure'!C78</f>
        <v>5.8033540000000002E-2</v>
      </c>
      <c r="K24" s="88"/>
      <c r="L24" s="50">
        <f>IF('Intel T265'!G24-'Experimental Procedure'!D78&lt;-180,'Intel T265'!G24-'Experimental Procedure'!D78 + 360,IF('Intel T265'!G24-'Experimental Procedure'!D78&gt;180,'Intel T265'!G24-'Experimental Procedure'!D78 - 360,'Intel T265'!G24-'Experimental Procedure'!D78))</f>
        <v>-0.52140000000002829</v>
      </c>
      <c r="M24" s="91"/>
      <c r="N24" s="53" t="str">
        <f>IF('Experimental Procedure'!E78=0,"NaN",J24/'Experimental Procedure'!E78*100)</f>
        <v>NaN</v>
      </c>
      <c r="O24" s="100"/>
      <c r="P24" s="53" t="str">
        <f>IF('Experimental Procedure'!F78=0,"NaN",L24/'Experimental Procedure'!F78*100)</f>
        <v>NaN</v>
      </c>
      <c r="Q24" s="111"/>
    </row>
    <row r="25" spans="1:17" x14ac:dyDescent="0.25">
      <c r="A25" s="2" t="s">
        <v>74</v>
      </c>
      <c r="B25" s="2" t="s">
        <v>100</v>
      </c>
      <c r="D25" s="72" t="s">
        <v>151</v>
      </c>
      <c r="E25" s="8" t="s">
        <v>134</v>
      </c>
      <c r="F25" s="17">
        <v>6.0123530000000001</v>
      </c>
      <c r="G25" s="48">
        <v>9.9616299999999995</v>
      </c>
      <c r="H25" s="86">
        <f>SQRT((F22-F25)^2+(F23-F26)^2+(F24-F27)^2)</f>
        <v>4.5701645617225742E-2</v>
      </c>
      <c r="I25" s="89">
        <v>356.46905760261876</v>
      </c>
      <c r="J25" s="17">
        <f>'Intel T265'!F25-'Experimental Procedure'!C79</f>
        <v>1.2353000000000058E-2</v>
      </c>
      <c r="K25" s="86">
        <f t="shared" ref="K25" si="3">SQRT(J25^2+J26^2+J27^2)</f>
        <v>4.7184076803855224E-2</v>
      </c>
      <c r="L25" s="48">
        <f>IF('Intel T265'!G25-'Experimental Procedure'!D79&lt;-180,'Intel T265'!G25-'Experimental Procedure'!D79 + 360,IF('Intel T265'!G25-'Experimental Procedure'!D79&gt;180,'Intel T265'!G25-'Experimental Procedure'!D79 - 360,'Intel T265'!G25-'Experimental Procedure'!D79))</f>
        <v>9.9616299999999995</v>
      </c>
      <c r="M25" s="89">
        <v>10.201150701991388</v>
      </c>
      <c r="N25" s="51" t="str">
        <f>IF('Experimental Procedure'!E79=0,"NaN",J25/'Experimental Procedure'!E79*100)</f>
        <v>NaN</v>
      </c>
      <c r="O25" s="98" t="str">
        <f>IF('Experimental Procedure'!G79=0,"NaN",'Intel T265'!K25/'Experimental Procedure'!G79*100)</f>
        <v>NaN</v>
      </c>
      <c r="P25" s="51" t="str">
        <f>IF('Experimental Procedure'!F79=0,"NaN",L25/'Experimental Procedure'!F79*100)</f>
        <v>NaN</v>
      </c>
      <c r="Q25" s="109">
        <f>IF('Experimental Procedure'!$H$79=0,"NaN",'Intel T265'!M25/'Experimental Procedure'!$H$79*100)</f>
        <v>2.8336529727753854</v>
      </c>
    </row>
    <row r="26" spans="1:17" x14ac:dyDescent="0.25">
      <c r="B26" s="1" t="s">
        <v>109</v>
      </c>
      <c r="D26" s="73"/>
      <c r="E26" s="9" t="s">
        <v>135</v>
      </c>
      <c r="F26" s="19">
        <v>1.4208080000000001</v>
      </c>
      <c r="G26" s="49">
        <v>357.79660000000001</v>
      </c>
      <c r="H26" s="87"/>
      <c r="I26" s="90"/>
      <c r="J26" s="19">
        <f>'Intel T265'!F26-'Experimental Procedure'!C80</f>
        <v>2.080800000000016E-2</v>
      </c>
      <c r="K26" s="87"/>
      <c r="L26" s="49">
        <f>IF('Intel T265'!G26-'Experimental Procedure'!D80&lt;-180,'Intel T265'!G26-'Experimental Procedure'!D80 + 360,IF('Intel T265'!G26-'Experimental Procedure'!D80&gt;180,'Intel T265'!G26-'Experimental Procedure'!D80 - 360,'Intel T265'!G26-'Experimental Procedure'!D80))</f>
        <v>-2.2033999999999878</v>
      </c>
      <c r="M26" s="90"/>
      <c r="N26" s="52" t="str">
        <f>IF('Experimental Procedure'!E80=0,"NaN",J26/'Experimental Procedure'!E80*100)</f>
        <v>NaN</v>
      </c>
      <c r="O26" s="99"/>
      <c r="P26" s="52">
        <f>IF('Experimental Procedure'!F80=0,"NaN",L26/'Experimental Procedure'!F80*100)</f>
        <v>-0.61205555555555213</v>
      </c>
      <c r="Q26" s="110"/>
    </row>
    <row r="27" spans="1:17" ht="15.75" thickBot="1" x14ac:dyDescent="0.3">
      <c r="D27" s="74"/>
      <c r="E27" s="10" t="s">
        <v>136</v>
      </c>
      <c r="F27" s="21">
        <v>4.0506390000000003E-2</v>
      </c>
      <c r="G27" s="50">
        <v>359.96129999999999</v>
      </c>
      <c r="H27" s="88"/>
      <c r="I27" s="91"/>
      <c r="J27" s="21">
        <f>'Intel T265'!F27-'Experimental Procedure'!C81</f>
        <v>4.0506390000000003E-2</v>
      </c>
      <c r="K27" s="88"/>
      <c r="L27" s="50">
        <f>IF('Intel T265'!G27-'Experimental Procedure'!D81&lt;-180,'Intel T265'!G27-'Experimental Procedure'!D81 + 360,IF('Intel T265'!G27-'Experimental Procedure'!D81&gt;180,'Intel T265'!G27-'Experimental Procedure'!D81 - 360,'Intel T265'!G27-'Experimental Procedure'!D81))</f>
        <v>-3.870000000000573E-2</v>
      </c>
      <c r="M27" s="91"/>
      <c r="N27" s="53" t="str">
        <f>IF('Experimental Procedure'!E81=0,"NaN",J27/'Experimental Procedure'!E81*100)</f>
        <v>NaN</v>
      </c>
      <c r="O27" s="100"/>
      <c r="P27" s="53" t="str">
        <f>IF('Experimental Procedure'!F81=0,"NaN",L27/'Experimental Procedure'!F81*100)</f>
        <v>NaN</v>
      </c>
      <c r="Q27" s="111"/>
    </row>
    <row r="28" spans="1:17" x14ac:dyDescent="0.25">
      <c r="A28" s="6" t="s">
        <v>102</v>
      </c>
      <c r="D28" s="72" t="s">
        <v>152</v>
      </c>
      <c r="E28" s="8" t="s">
        <v>134</v>
      </c>
      <c r="F28" s="17">
        <v>6.033175</v>
      </c>
      <c r="G28" s="48">
        <v>6.4874999999999998</v>
      </c>
      <c r="H28" s="86">
        <f>SQRT((F25-F28)^2+(F26-F29)^2+(F27-F30)^2)</f>
        <v>2.5329608603310426E-2</v>
      </c>
      <c r="I28" s="89">
        <v>364.55509280847019</v>
      </c>
      <c r="J28" s="17">
        <f>'Intel T265'!F28-'Experimental Procedure'!C82</f>
        <v>3.3174999999999955E-2</v>
      </c>
      <c r="K28" s="86">
        <f t="shared" ref="K28" si="4">SQRT(J28^2+J29^2+J30^2)</f>
        <v>6.1456294478089042E-2</v>
      </c>
      <c r="L28" s="48">
        <f>IF('Intel T265'!G28-'Experimental Procedure'!D82&lt;-180,'Intel T265'!G28-'Experimental Procedure'!D82 + 360,IF('Intel T265'!G28-'Experimental Procedure'!D82&gt;180,'Intel T265'!G28-'Experimental Procedure'!D82 - 360,'Intel T265'!G28-'Experimental Procedure'!D82))</f>
        <v>6.4874999999999998</v>
      </c>
      <c r="M28" s="89">
        <v>6.8945359307388427</v>
      </c>
      <c r="N28" s="51" t="str">
        <f>IF('Experimental Procedure'!E82=0,"NaN",J28/'Experimental Procedure'!E82*100)</f>
        <v>NaN</v>
      </c>
      <c r="O28" s="98" t="str">
        <f>IF('Experimental Procedure'!G82=0,"NaN",'Intel T265'!K28/'Experimental Procedure'!G82*100)</f>
        <v>NaN</v>
      </c>
      <c r="P28" s="51" t="str">
        <f>IF('Experimental Procedure'!F82=0,"NaN",L28/'Experimental Procedure'!F82*100)</f>
        <v>NaN</v>
      </c>
      <c r="Q28" s="109">
        <f>IF('Experimental Procedure'!$H$82=0,"NaN",'Intel T265'!M28/'Experimental Procedure'!$H$82*100)</f>
        <v>1.9151488696496786</v>
      </c>
    </row>
    <row r="29" spans="1:17" x14ac:dyDescent="0.25">
      <c r="A29" s="1" t="s">
        <v>103</v>
      </c>
      <c r="B29" s="1" t="s">
        <v>105</v>
      </c>
      <c r="D29" s="73"/>
      <c r="E29" s="9" t="s">
        <v>135</v>
      </c>
      <c r="F29" s="19">
        <v>1.41055</v>
      </c>
      <c r="G29" s="49">
        <v>359.92149999999998</v>
      </c>
      <c r="H29" s="87"/>
      <c r="I29" s="90"/>
      <c r="J29" s="19">
        <f>'Intel T265'!F29-'Experimental Procedure'!C83</f>
        <v>1.0550000000000059E-2</v>
      </c>
      <c r="K29" s="87"/>
      <c r="L29" s="49">
        <f>IF('Intel T265'!G29-'Experimental Procedure'!D83&lt;-180,'Intel T265'!G29-'Experimental Procedure'!D83 + 360,IF('Intel T265'!G29-'Experimental Procedure'!D83&gt;180,'Intel T265'!G29-'Experimental Procedure'!D83 - 360,'Intel T265'!G29-'Experimental Procedure'!D83))</f>
        <v>-7.8500000000019554E-2</v>
      </c>
      <c r="M29" s="90"/>
      <c r="N29" s="52" t="str">
        <f>IF('Experimental Procedure'!E83=0,"NaN",J29/'Experimental Procedure'!E83*100)</f>
        <v>NaN</v>
      </c>
      <c r="O29" s="99"/>
      <c r="P29" s="52" t="str">
        <f>IF('Experimental Procedure'!F83=0,"NaN",L29/'Experimental Procedure'!F83*100)</f>
        <v>NaN</v>
      </c>
      <c r="Q29" s="110"/>
    </row>
    <row r="30" spans="1:17" ht="15.75" thickBot="1" x14ac:dyDescent="0.3">
      <c r="D30" s="74"/>
      <c r="E30" s="10" t="s">
        <v>136</v>
      </c>
      <c r="F30" s="21">
        <v>5.0645759999999998E-2</v>
      </c>
      <c r="G30" s="50">
        <v>2.329358</v>
      </c>
      <c r="H30" s="88"/>
      <c r="I30" s="91"/>
      <c r="J30" s="21">
        <f>'Intel T265'!F30-'Experimental Procedure'!C84</f>
        <v>5.0645759999999998E-2</v>
      </c>
      <c r="K30" s="88"/>
      <c r="L30" s="50">
        <f>IF('Intel T265'!G30-'Experimental Procedure'!D84&lt;-180,'Intel T265'!G30-'Experimental Procedure'!D84 + 360,IF('Intel T265'!G30-'Experimental Procedure'!D84&gt;180,'Intel T265'!G30-'Experimental Procedure'!D84 - 360,'Intel T265'!G30-'Experimental Procedure'!D84))</f>
        <v>2.329358</v>
      </c>
      <c r="M30" s="91"/>
      <c r="N30" s="53" t="str">
        <f>IF('Experimental Procedure'!E84=0,"NaN",J30/'Experimental Procedure'!E84*100)</f>
        <v>NaN</v>
      </c>
      <c r="O30" s="100"/>
      <c r="P30" s="53">
        <f>IF('Experimental Procedure'!F84=0,"NaN",L30/'Experimental Procedure'!F84*100)</f>
        <v>-0.64704388888888886</v>
      </c>
      <c r="Q30" s="111"/>
    </row>
    <row r="31" spans="1:17" x14ac:dyDescent="0.25">
      <c r="D31" s="72" t="s">
        <v>153</v>
      </c>
      <c r="E31" s="9" t="s">
        <v>134</v>
      </c>
      <c r="F31" s="17">
        <v>6.0523720000000001</v>
      </c>
      <c r="G31" s="48">
        <v>6.1012890000000004</v>
      </c>
      <c r="H31" s="86">
        <f>SQRT((F28-F31)^2+(F29-F32)^2+(F30-F33)^2)</f>
        <v>5.0296899878624748E-2</v>
      </c>
      <c r="I31" s="89">
        <v>362.47206048861455</v>
      </c>
      <c r="J31" s="17">
        <f>'Intel T265'!F31-'Experimental Procedure'!C85</f>
        <v>5.2372000000000085E-2</v>
      </c>
      <c r="K31" s="86">
        <f t="shared" ref="K31" si="5">SQRT(J31^2+J32^2+J33^2)</f>
        <v>0.1098046429134379</v>
      </c>
      <c r="L31" s="48">
        <f>IF('Intel T265'!G31-'Experimental Procedure'!D85&lt;-180,'Intel T265'!G31-'Experimental Procedure'!D85 + 360,IF('Intel T265'!G31-'Experimental Procedure'!D85&gt;180,'Intel T265'!G31-'Experimental Procedure'!D85 - 360,'Intel T265'!G31-'Experimental Procedure'!D85))</f>
        <v>6.1012890000000004</v>
      </c>
      <c r="M31" s="89">
        <v>6.1839651171572596</v>
      </c>
      <c r="N31" s="51" t="str">
        <f>IF('Experimental Procedure'!E85=0,"NaN",J31/'Experimental Procedure'!E85*100)</f>
        <v>NaN</v>
      </c>
      <c r="O31" s="98" t="str">
        <f>IF('Experimental Procedure'!G85=0,"NaN",'Intel T265'!K31/'Experimental Procedure'!G85*100)</f>
        <v>NaN</v>
      </c>
      <c r="P31" s="51">
        <f>IF('Experimental Procedure'!F85=0,"NaN",L31/'Experimental Procedure'!F85*100)</f>
        <v>-1.6948025000000002</v>
      </c>
      <c r="Q31" s="109">
        <f>IF('Experimental Procedure'!$H$85=0,"NaN",'Intel T265'!M31/'Experimental Procedure'!$H$85*100)</f>
        <v>1.7177680880992388</v>
      </c>
    </row>
    <row r="32" spans="1:17" x14ac:dyDescent="0.25">
      <c r="D32" s="73"/>
      <c r="E32" s="9" t="s">
        <v>135</v>
      </c>
      <c r="F32" s="19">
        <v>1.4360219999999999</v>
      </c>
      <c r="G32" s="49">
        <v>358.9905</v>
      </c>
      <c r="H32" s="87"/>
      <c r="I32" s="90"/>
      <c r="J32" s="19">
        <f>'Intel T265'!F32-'Experimental Procedure'!C86</f>
        <v>3.6021999999999998E-2</v>
      </c>
      <c r="K32" s="87"/>
      <c r="L32" s="49">
        <f>IF('Intel T265'!G32-'Experimental Procedure'!D86&lt;-180,'Intel T265'!G32-'Experimental Procedure'!D86 + 360,IF('Intel T265'!G32-'Experimental Procedure'!D86&gt;180,'Intel T265'!G32-'Experimental Procedure'!D86 - 360,'Intel T265'!G32-'Experimental Procedure'!D86))</f>
        <v>-1.0095000000000027</v>
      </c>
      <c r="M32" s="90"/>
      <c r="N32" s="52" t="str">
        <f>IF('Experimental Procedure'!E86=0,"NaN",J32/'Experimental Procedure'!E86*100)</f>
        <v>NaN</v>
      </c>
      <c r="O32" s="99"/>
      <c r="P32" s="52" t="str">
        <f>IF('Experimental Procedure'!F86=0,"NaN",L32/'Experimental Procedure'!F86*100)</f>
        <v>NaN</v>
      </c>
      <c r="Q32" s="110"/>
    </row>
    <row r="33" spans="4:17" ht="15.75" thickBot="1" x14ac:dyDescent="0.3">
      <c r="D33" s="74"/>
      <c r="E33" s="10" t="s">
        <v>136</v>
      </c>
      <c r="F33" s="21">
        <v>8.9535740000000003E-2</v>
      </c>
      <c r="G33" s="50">
        <v>359.96769999999998</v>
      </c>
      <c r="H33" s="88"/>
      <c r="I33" s="91"/>
      <c r="J33" s="21">
        <f>'Intel T265'!F33-'Experimental Procedure'!C87</f>
        <v>8.9535740000000003E-2</v>
      </c>
      <c r="K33" s="88"/>
      <c r="L33" s="50">
        <f>IF('Intel T265'!G33-'Experimental Procedure'!D87&lt;-180,'Intel T265'!G33-'Experimental Procedure'!D87 + 360,IF('Intel T265'!G33-'Experimental Procedure'!D87&gt;180,'Intel T265'!G33-'Experimental Procedure'!D87 - 360,'Intel T265'!G33-'Experimental Procedure'!D87))</f>
        <v>-3.2300000000020646E-2</v>
      </c>
      <c r="M33" s="91"/>
      <c r="N33" s="53" t="str">
        <f>IF('Experimental Procedure'!E87=0,"NaN",J33/'Experimental Procedure'!E87*100)</f>
        <v>NaN</v>
      </c>
      <c r="O33" s="100"/>
      <c r="P33" s="53" t="str">
        <f>IF('Experimental Procedure'!F87=0,"NaN",L33/'Experimental Procedure'!F87*100)</f>
        <v>NaN</v>
      </c>
      <c r="Q33" s="111"/>
    </row>
    <row r="34" spans="4:17" x14ac:dyDescent="0.25">
      <c r="I34" s="66"/>
      <c r="K34" s="33"/>
    </row>
    <row r="35" spans="4:17" x14ac:dyDescent="0.25">
      <c r="D35" s="28" t="s">
        <v>162</v>
      </c>
      <c r="E35" s="28"/>
      <c r="F35" s="28"/>
      <c r="I35" s="66"/>
      <c r="K35" s="33"/>
    </row>
    <row r="36" spans="4:17" ht="15.75" thickBot="1" x14ac:dyDescent="0.3">
      <c r="D36" s="29" t="s">
        <v>133</v>
      </c>
      <c r="E36" s="29"/>
      <c r="F36" s="29"/>
      <c r="I36" s="66"/>
      <c r="K36" s="33"/>
    </row>
    <row r="37" spans="4:17" ht="15.75" thickBot="1" x14ac:dyDescent="0.3">
      <c r="D37" s="75" t="s">
        <v>163</v>
      </c>
      <c r="E37" s="76"/>
      <c r="F37" s="12" t="s">
        <v>137</v>
      </c>
      <c r="G37" s="23" t="s">
        <v>197</v>
      </c>
      <c r="H37" s="16" t="s">
        <v>178</v>
      </c>
      <c r="I37" s="65" t="s">
        <v>179</v>
      </c>
      <c r="J37" s="16" t="s">
        <v>143</v>
      </c>
      <c r="K37" s="34" t="s">
        <v>168</v>
      </c>
      <c r="L37" s="23" t="s">
        <v>144</v>
      </c>
      <c r="M37" s="12" t="s">
        <v>167</v>
      </c>
      <c r="N37" s="16" t="s">
        <v>141</v>
      </c>
      <c r="O37" s="16" t="s">
        <v>171</v>
      </c>
      <c r="P37" s="23" t="s">
        <v>142</v>
      </c>
      <c r="Q37" s="23" t="s">
        <v>172</v>
      </c>
    </row>
    <row r="38" spans="4:17" x14ac:dyDescent="0.25">
      <c r="D38" s="72" t="s">
        <v>180</v>
      </c>
      <c r="E38" s="9" t="s">
        <v>134</v>
      </c>
      <c r="F38" s="17">
        <v>6.0148089999999996</v>
      </c>
      <c r="G38" s="45">
        <v>3.5121000000000002</v>
      </c>
      <c r="H38" s="86">
        <v>0</v>
      </c>
      <c r="I38" s="89">
        <v>0</v>
      </c>
      <c r="J38" s="17">
        <f>'Intel T265'!F38-'Experimental Procedure'!$C$90</f>
        <v>1.4808999999999628E-2</v>
      </c>
      <c r="K38" s="95">
        <f>SQRT(J38^2+J39^2+J40^2)</f>
        <v>2.8468599017162595E-2</v>
      </c>
      <c r="L38" s="48">
        <f>IF('Intel T265'!G38-'Experimental Procedure'!$D$90&lt;-180,'Intel T265'!G38-'Experimental Procedure'!$D$90 + 360,IF('Intel T265'!G38-'Experimental Procedure'!$D$90&gt;180,'Intel T265'!G38-'Experimental Procedure'!$D$90 - 360,'Intel T265'!G38-'Experimental Procedure'!$D$90))</f>
        <v>3.5121000000000002</v>
      </c>
      <c r="M38" s="106">
        <v>6.6744209950390907</v>
      </c>
      <c r="N38" s="51" t="str">
        <f>IF('Experimental Procedure'!$E$90=0,"NaN",J38/'Experimental Procedure'!$E$90*100)</f>
        <v>NaN</v>
      </c>
      <c r="O38" s="92" t="str">
        <f>IF('Experimental Procedure'!$G$90=0,"NaN",'Intel T265'!K38/'Experimental Procedure'!$G$90*100)</f>
        <v>NaN</v>
      </c>
      <c r="P38" s="51" t="str">
        <f>IF('Experimental Procedure'!$F$90=0,"NaN",L38/'Experimental Procedure'!$F$90*100)</f>
        <v>NaN</v>
      </c>
      <c r="Q38" s="109" t="str">
        <f>IF('Experimental Procedure'!$H$90=0,"NaN",'Intel T265'!M38/'Experimental Procedure'!$H$90*100)</f>
        <v>NaN</v>
      </c>
    </row>
    <row r="39" spans="4:17" x14ac:dyDescent="0.25">
      <c r="D39" s="73"/>
      <c r="E39" s="9" t="s">
        <v>135</v>
      </c>
      <c r="F39" s="19">
        <v>1.40856</v>
      </c>
      <c r="G39" s="46">
        <v>4.3540000000000001</v>
      </c>
      <c r="H39" s="87"/>
      <c r="I39" s="90"/>
      <c r="J39" s="19">
        <f>'Intel T265'!F39-'Experimental Procedure'!$C$91</f>
        <v>8.5600000000001231E-3</v>
      </c>
      <c r="K39" s="96"/>
      <c r="L39" s="49">
        <f>IF('Intel T265'!G39-'Experimental Procedure'!$D$91&lt;-180,'Intel T265'!G39-'Experimental Procedure'!$D$91 + 360,IF('Intel T265'!G39-'Experimental Procedure'!$D$91&gt;180,'Intel T265'!G39-'Experimental Procedure'!$D$91 - 360,'Intel T265'!G39-'Experimental Procedure'!$D$91))</f>
        <v>4.3540000000000001</v>
      </c>
      <c r="M39" s="107"/>
      <c r="N39" s="52" t="str">
        <f>IF('Experimental Procedure'!$E$91=0,"NaN",J39/'Experimental Procedure'!$E$91*100)</f>
        <v>NaN</v>
      </c>
      <c r="O39" s="93"/>
      <c r="P39" s="52" t="str">
        <f>IF('Experimental Procedure'!$F$91=0,"NaN",L39/'Experimental Procedure'!$F$91*100)</f>
        <v>NaN</v>
      </c>
      <c r="Q39" s="110"/>
    </row>
    <row r="40" spans="4:17" ht="15.75" thickBot="1" x14ac:dyDescent="0.3">
      <c r="D40" s="74"/>
      <c r="E40" s="10" t="s">
        <v>136</v>
      </c>
      <c r="F40" s="21">
        <v>-2.2756999999999999E-2</v>
      </c>
      <c r="G40" s="47">
        <v>356.488</v>
      </c>
      <c r="H40" s="88"/>
      <c r="I40" s="91"/>
      <c r="J40" s="21">
        <f>'Intel T265'!F40-'Experimental Procedure'!$C$92</f>
        <v>-2.2756999999999999E-2</v>
      </c>
      <c r="K40" s="97"/>
      <c r="L40" s="50">
        <f>IF('Intel T265'!G40-'Experimental Procedure'!$D$92&lt;-180,'Intel T265'!G40-'Experimental Procedure'!$D$92 + 360,IF('Intel T265'!G40-'Experimental Procedure'!$D$92&gt;180,'Intel T265'!G40-'Experimental Procedure'!$D$92 - 360,'Intel T265'!G40-'Experimental Procedure'!$D$92))</f>
        <v>-3.5120000000000005</v>
      </c>
      <c r="M40" s="108"/>
      <c r="N40" s="53" t="str">
        <f>IF('Experimental Procedure'!$E$92=0,"NaN",J40/'Experimental Procedure'!$E$92*100)</f>
        <v>NaN</v>
      </c>
      <c r="O40" s="94"/>
      <c r="P40" s="53" t="str">
        <f>IF('Experimental Procedure'!$F$92=0,"NaN",L40/'Experimental Procedure'!$F$92*100)</f>
        <v>NaN</v>
      </c>
      <c r="Q40" s="111"/>
    </row>
    <row r="41" spans="4:17" x14ac:dyDescent="0.25">
      <c r="D41" s="72" t="s">
        <v>189</v>
      </c>
      <c r="E41" s="8" t="s">
        <v>134</v>
      </c>
      <c r="F41" s="17">
        <v>6.4368069999999999</v>
      </c>
      <c r="G41" s="48">
        <v>358.89960000000002</v>
      </c>
      <c r="H41" s="86">
        <f>SQRT((F38-F41)^2+(F39-F42)^2+(F40-F43)^2)</f>
        <v>3.3467001218152186</v>
      </c>
      <c r="I41" s="89">
        <v>5.5811168478050117</v>
      </c>
      <c r="J41" s="17">
        <f>'Intel T265'!F41-'Experimental Procedure'!$C$93</f>
        <v>0.43680699999999995</v>
      </c>
      <c r="K41" s="86">
        <f t="shared" ref="K41" si="6">SQRT(J41^2+J42^2+J43^2)</f>
        <v>0.82834637523321109</v>
      </c>
      <c r="L41" s="48">
        <f>IF('Intel T265'!G41-'Experimental Procedure'!$D$93&lt;-180,'Intel T265'!G41-'Experimental Procedure'!$D$93 + 360,IF('Intel T265'!G41-'Experimental Procedure'!$D$93&gt;180,'Intel T265'!G41-'Experimental Procedure'!$D$93 - 360,'Intel T265'!G41-'Experimental Procedure'!$D$93))</f>
        <v>-1.1003999999999792</v>
      </c>
      <c r="M41" s="89">
        <v>8.6930687967304614</v>
      </c>
      <c r="N41" s="51" t="str">
        <f>IF('Experimental Procedure'!$E$93=0,"NaN",J41/'Experimental Procedure'!$E$93*100)</f>
        <v>NaN</v>
      </c>
      <c r="O41" s="92">
        <f>IF('Experimental Procedure'!$G$93=0,"NaN",'Intel T265'!K41/'Experimental Procedure'!$G$93*100)</f>
        <v>20.708659380830277</v>
      </c>
      <c r="P41" s="51" t="str">
        <f>IF('Experimental Procedure'!$F$93=0,"NaN",L41/'Experimental Procedure'!$F$93*100)</f>
        <v>NaN</v>
      </c>
      <c r="Q41" s="109" t="str">
        <f>IF('Experimental Procedure'!$H$93=0,"NaN",'Intel T265'!M41/'Experimental Procedure'!$H$93*100)</f>
        <v>NaN</v>
      </c>
    </row>
    <row r="42" spans="4:17" x14ac:dyDescent="0.25">
      <c r="D42" s="73"/>
      <c r="E42" s="9" t="s">
        <v>135</v>
      </c>
      <c r="F42" s="19">
        <v>1.3667830000000001</v>
      </c>
      <c r="G42" s="49">
        <v>7.144285</v>
      </c>
      <c r="H42" s="87"/>
      <c r="I42" s="90"/>
      <c r="J42" s="19">
        <f>'Intel T265'!F42-'Experimental Procedure'!$C$94</f>
        <v>-3.321699999999983E-2</v>
      </c>
      <c r="K42" s="87"/>
      <c r="L42" s="49">
        <f>IF('Intel T265'!G42-'Experimental Procedure'!$D$94&lt;-180,'Intel T265'!G42-'Experimental Procedure'!$D$94 + 360,IF('Intel T265'!G42-'Experimental Procedure'!$D$94&gt;180,'Intel T265'!G42-'Experimental Procedure'!$D$94 - 360,'Intel T265'!G42-'Experimental Procedure'!$D$94))</f>
        <v>7.144285</v>
      </c>
      <c r="M42" s="90"/>
      <c r="N42" s="52" t="str">
        <f>IF('Experimental Procedure'!$E$94=0,"NaN",J42/'Experimental Procedure'!$E$94*100)</f>
        <v>NaN</v>
      </c>
      <c r="O42" s="93"/>
      <c r="P42" s="52" t="str">
        <f>IF('Experimental Procedure'!$F$94=0,"NaN",L42/'Experimental Procedure'!$F$94*100)</f>
        <v>NaN</v>
      </c>
      <c r="Q42" s="110"/>
    </row>
    <row r="43" spans="4:17" ht="15.75" thickBot="1" x14ac:dyDescent="0.3">
      <c r="D43" s="74"/>
      <c r="E43" s="10" t="s">
        <v>136</v>
      </c>
      <c r="F43" s="21">
        <v>3.2969680000000001</v>
      </c>
      <c r="G43" s="50">
        <v>355.09859999999998</v>
      </c>
      <c r="H43" s="88"/>
      <c r="I43" s="91"/>
      <c r="J43" s="21">
        <f>'Intel T265'!F43-'Experimental Procedure'!$C$95</f>
        <v>-0.70303199999999988</v>
      </c>
      <c r="K43" s="88"/>
      <c r="L43" s="50">
        <f>IF('Intel T265'!G43-'Experimental Procedure'!$D$95&lt;-180,'Intel T265'!G43-'Experimental Procedure'!$D$95 + 360,IF('Intel T265'!G43-'Experimental Procedure'!$D$95&gt;180,'Intel T265'!G43-'Experimental Procedure'!$D$95 - 360,'Intel T265'!G43-'Experimental Procedure'!$D$95))</f>
        <v>-4.9014000000000237</v>
      </c>
      <c r="M43" s="91"/>
      <c r="N43" s="53">
        <f>IF('Experimental Procedure'!$E$95=0,"NaN",J43/'Experimental Procedure'!$E$95*100)</f>
        <v>-17.575799999999997</v>
      </c>
      <c r="O43" s="94"/>
      <c r="P43" s="53" t="str">
        <f>IF('Experimental Procedure'!$F$95=0,"NaN",L43/'Experimental Procedure'!$F$95*100)</f>
        <v>NaN</v>
      </c>
      <c r="Q43" s="111"/>
    </row>
    <row r="44" spans="4:17" x14ac:dyDescent="0.25">
      <c r="D44" s="72" t="s">
        <v>188</v>
      </c>
      <c r="E44" s="8" t="s">
        <v>134</v>
      </c>
      <c r="F44" s="17">
        <v>1.2774449999999999</v>
      </c>
      <c r="G44" s="48">
        <v>358.8938</v>
      </c>
      <c r="H44" s="86">
        <f>SQRT((F41-F44)^2+(F42-F45)^2+(F43-F46)^2)</f>
        <v>5.2078307482794592</v>
      </c>
      <c r="I44" s="89">
        <v>5.9887935481416488</v>
      </c>
      <c r="J44" s="17">
        <f>'Intel T265'!F44-'Experimental Procedure'!$C$96</f>
        <v>1.2774449999999999</v>
      </c>
      <c r="K44" s="86">
        <f t="shared" ref="K44" si="7">SQRT(J44^2+J45^2+J46^2)</f>
        <v>1.2776496310659662</v>
      </c>
      <c r="L44" s="48">
        <f>IF('Intel T265'!G44-'Experimental Procedure'!$D$96&lt;-180,'Intel T265'!G44-'Experimental Procedure'!$D$96 + 360,IF('Intel T265'!G44-'Experimental Procedure'!$D$96&gt;180,'Intel T265'!G44-'Experimental Procedure'!$D$96 - 360,'Intel T265'!G44-'Experimental Procedure'!$D$96))</f>
        <v>-1.1062000000000012</v>
      </c>
      <c r="M44" s="89">
        <v>4.8404464726124736</v>
      </c>
      <c r="N44" s="51">
        <f>IF('Experimental Procedure'!$E$96=0,"NaN",J44/'Experimental Procedure'!$E$96*100)</f>
        <v>21.290749999999999</v>
      </c>
      <c r="O44" s="92">
        <f>IF('Experimental Procedure'!$G$96=0,"NaN",'Intel T265'!K44/'Experimental Procedure'!$G$96*100)</f>
        <v>21.294160517766102</v>
      </c>
      <c r="P44" s="51" t="str">
        <f>IF('Experimental Procedure'!$F$96=0,"NaN",L44/'Experimental Procedure'!$F$96*100)</f>
        <v>NaN</v>
      </c>
      <c r="Q44" s="109" t="str">
        <f>IF('Experimental Procedure'!$H$96=0,"NaN",'Intel T265'!M44/'Experimental Procedure'!$H$96*100)</f>
        <v>NaN</v>
      </c>
    </row>
    <row r="45" spans="4:17" x14ac:dyDescent="0.25">
      <c r="D45" s="73"/>
      <c r="E45" s="9" t="s">
        <v>135</v>
      </c>
      <c r="F45" s="19">
        <v>1.377867</v>
      </c>
      <c r="G45" s="49">
        <v>4.6683149999999998</v>
      </c>
      <c r="H45" s="87"/>
      <c r="I45" s="90"/>
      <c r="J45" s="19">
        <f>'Intel T265'!F45-'Experimental Procedure'!$C$97</f>
        <v>-2.2132999999999958E-2</v>
      </c>
      <c r="K45" s="87"/>
      <c r="L45" s="49">
        <f>IF('Intel T265'!G45-'Experimental Procedure'!$D$97&lt;-180,'Intel T265'!G45-'Experimental Procedure'!$D$97 + 360,IF('Intel T265'!G45-'Experimental Procedure'!$D$97&gt;180,'Intel T265'!G45-'Experimental Procedure'!$D$97 - 360,'Intel T265'!G45-'Experimental Procedure'!$D$97))</f>
        <v>4.6683149999999998</v>
      </c>
      <c r="M45" s="90"/>
      <c r="N45" s="52" t="str">
        <f>IF('Experimental Procedure'!$E$97=0,"NaN",J45/'Experimental Procedure'!$E$97*100)</f>
        <v>NaN</v>
      </c>
      <c r="O45" s="93"/>
      <c r="P45" s="52" t="str">
        <f>IF('Experimental Procedure'!$F$97=0,"NaN",L45/'Experimental Procedure'!$F$97*100)</f>
        <v>NaN</v>
      </c>
      <c r="Q45" s="110"/>
    </row>
    <row r="46" spans="4:17" ht="15.75" thickBot="1" x14ac:dyDescent="0.3">
      <c r="D46" s="74"/>
      <c r="E46" s="10" t="s">
        <v>136</v>
      </c>
      <c r="F46" s="21">
        <v>4.0057429999999998</v>
      </c>
      <c r="G46" s="50">
        <v>0.59991300000000003</v>
      </c>
      <c r="H46" s="88"/>
      <c r="I46" s="91"/>
      <c r="J46" s="21">
        <f>'Intel T265'!F46-'Experimental Procedure'!$C$98</f>
        <v>5.7429999999998316E-3</v>
      </c>
      <c r="K46" s="88"/>
      <c r="L46" s="50">
        <f>IF('Intel T265'!G46-'Experimental Procedure'!$D$98&lt;-180,'Intel T265'!G46-'Experimental Procedure'!$D$98 + 360,IF('Intel T265'!G46-'Experimental Procedure'!$D$98&gt;180,'Intel T265'!G46-'Experimental Procedure'!$D$98 - 360,'Intel T265'!G46-'Experimental Procedure'!$D$98))</f>
        <v>0.59991300000000003</v>
      </c>
      <c r="M46" s="91"/>
      <c r="N46" s="53" t="str">
        <f>IF('Experimental Procedure'!$E$98=0,"NaN",J46/'Experimental Procedure'!$E$98*100)</f>
        <v>NaN</v>
      </c>
      <c r="O46" s="94"/>
      <c r="P46" s="53" t="str">
        <f>IF('Experimental Procedure'!$F$98=0,"NaN",L46/'Experimental Procedure'!$F$98*100)</f>
        <v>NaN</v>
      </c>
      <c r="Q46" s="111"/>
    </row>
    <row r="47" spans="4:17" x14ac:dyDescent="0.25">
      <c r="D47" s="72" t="s">
        <v>190</v>
      </c>
      <c r="E47" s="9" t="s">
        <v>134</v>
      </c>
      <c r="F47" s="17">
        <v>0.76437619999999995</v>
      </c>
      <c r="G47" s="48">
        <v>358.17149999999998</v>
      </c>
      <c r="H47" s="86">
        <f>SQRT((F44-F47)^2+(F45-F48)^2+(F46-F49)^2)</f>
        <v>3.4198505943155175</v>
      </c>
      <c r="I47" s="89">
        <v>1.3008936557054074</v>
      </c>
      <c r="J47" s="17">
        <f>'Intel T265'!F47-'Experimental Procedure'!$C$99</f>
        <v>0.76437619999999995</v>
      </c>
      <c r="K47" s="86">
        <f t="shared" ref="K47" si="8">SQRT(J47^2+J48^2+J49^2)</f>
        <v>0.99146201315774052</v>
      </c>
      <c r="L47" s="48">
        <f>IF('Intel T265'!G47-'Experimental Procedure'!$D$99&lt;-180,'Intel T265'!G47-'Experimental Procedure'!$D$99 + 360,IF('Intel T265'!G47-'Experimental Procedure'!$D$99&gt;180,'Intel T265'!G47-'Experimental Procedure'!$D$99 - 360,'Intel T265'!G47-'Experimental Procedure'!$D$99))</f>
        <v>-1.8285000000000196</v>
      </c>
      <c r="M47" s="89">
        <v>6.0772086545454886</v>
      </c>
      <c r="N47" s="51" t="str">
        <f>IF('Experimental Procedure'!$E$99=0,"NaN",J47/'Experimental Procedure'!$E$99*100)</f>
        <v>NaN</v>
      </c>
      <c r="O47" s="92">
        <f>IF('Experimental Procedure'!$G$99=0,"NaN",'Intel T265'!K47/'Experimental Procedure'!$G$99*100)</f>
        <v>24.786550328943513</v>
      </c>
      <c r="P47" s="51" t="str">
        <f>IF('Experimental Procedure'!$F$99=0,"NaN",L47/'Experimental Procedure'!$F$99*100)</f>
        <v>NaN</v>
      </c>
      <c r="Q47" s="109" t="str">
        <f>IF('Experimental Procedure'!$H$99=0,"NaN",'Intel T265'!M47/'Experimental Procedure'!$H$99*100)</f>
        <v>NaN</v>
      </c>
    </row>
    <row r="48" spans="4:17" x14ac:dyDescent="0.25">
      <c r="D48" s="73"/>
      <c r="E48" s="9" t="s">
        <v>135</v>
      </c>
      <c r="F48" s="19">
        <v>1.311717</v>
      </c>
      <c r="G48" s="49">
        <v>5.7458729999999996</v>
      </c>
      <c r="H48" s="87"/>
      <c r="I48" s="90"/>
      <c r="J48" s="19">
        <f>'Intel T265'!F48-'Experimental Procedure'!$C$100</f>
        <v>-8.8282999999999889E-2</v>
      </c>
      <c r="K48" s="87"/>
      <c r="L48" s="49">
        <f>IF('Intel T265'!G48-'Experimental Procedure'!$D$100&lt;-180,'Intel T265'!G48-'Experimental Procedure'!$D$100 + 360,IF('Intel T265'!G48-'Experimental Procedure'!$D$100&gt;180,'Intel T265'!G48-'Experimental Procedure'!$D$100 - 360,'Intel T265'!G48-'Experimental Procedure'!$D$100))</f>
        <v>5.7458729999999996</v>
      </c>
      <c r="M48" s="90"/>
      <c r="N48" s="52" t="str">
        <f>IF('Experimental Procedure'!$E$100=0,"NaN",J48/'Experimental Procedure'!$E$100*100)</f>
        <v>NaN</v>
      </c>
      <c r="O48" s="93"/>
      <c r="P48" s="52" t="str">
        <f>IF('Experimental Procedure'!$F$100=0,"NaN",L48/'Experimental Procedure'!$F$100*100)</f>
        <v>NaN</v>
      </c>
      <c r="Q48" s="110"/>
    </row>
    <row r="49" spans="4:17" ht="15.75" thickBot="1" x14ac:dyDescent="0.3">
      <c r="D49" s="74"/>
      <c r="E49" s="10" t="s">
        <v>136</v>
      </c>
      <c r="F49" s="21">
        <v>0.62524559999999996</v>
      </c>
      <c r="G49" s="50">
        <v>0.67357549999999999</v>
      </c>
      <c r="H49" s="88"/>
      <c r="I49" s="91"/>
      <c r="J49" s="21">
        <f>'Intel T265'!F49-'Experimental Procedure'!$C$101</f>
        <v>0.62524559999999996</v>
      </c>
      <c r="K49" s="88"/>
      <c r="L49" s="50">
        <f>IF('Intel T265'!G49-'Experimental Procedure'!$D$101&lt;-180,'Intel T265'!G49-'Experimental Procedure'!$D$101 + 360,IF('Intel T265'!G49-'Experimental Procedure'!$D$101&gt;180,'Intel T265'!G49-'Experimental Procedure'!$D$101 - 360,'Intel T265'!G49-'Experimental Procedure'!$D$101))</f>
        <v>0.67357549999999999</v>
      </c>
      <c r="M49" s="91"/>
      <c r="N49" s="53">
        <f>IF('Experimental Procedure'!$E$101=0,"NaN",J49/'Experimental Procedure'!$E$101*100)</f>
        <v>15.631139999999998</v>
      </c>
      <c r="O49" s="94"/>
      <c r="P49" s="53" t="str">
        <f>IF('Experimental Procedure'!$F$101=0,"NaN",L49/'Experimental Procedure'!$F$101*100)</f>
        <v>NaN</v>
      </c>
      <c r="Q49" s="111"/>
    </row>
    <row r="50" spans="4:17" x14ac:dyDescent="0.25">
      <c r="D50" s="72" t="s">
        <v>180</v>
      </c>
      <c r="E50" s="8" t="s">
        <v>134</v>
      </c>
      <c r="F50" s="17">
        <v>5.9904489999999999</v>
      </c>
      <c r="G50" s="48">
        <v>4.12242</v>
      </c>
      <c r="H50" s="86">
        <f>SQRT((F47-F50)^2+(F48-F51)^2+(F49-F52)^2)</f>
        <v>5.2658899476186107</v>
      </c>
      <c r="I50" s="89">
        <v>6.3180043300740811</v>
      </c>
      <c r="J50" s="17">
        <f>'Intel T265'!F50-'Experimental Procedure'!$C$102</f>
        <v>-9.5510000000000872E-3</v>
      </c>
      <c r="K50" s="86">
        <f t="shared" ref="K50" si="9">SQRT(J50^2+J51^2+J52^2)</f>
        <v>1.7697098719397536E-2</v>
      </c>
      <c r="L50" s="48">
        <f>IF('Intel T265'!G50-'Experimental Procedure'!$D$102&lt;-180,'Intel T265'!G50-'Experimental Procedure'!$D$102 + 360,IF('Intel T265'!G50-'Experimental Procedure'!$D$102&gt;180,'Intel T265'!G50-'Experimental Procedure'!$D$102 - 360,'Intel T265'!G50-'Experimental Procedure'!$D$102))</f>
        <v>4.12242</v>
      </c>
      <c r="M50" s="89">
        <v>5.762475191910128</v>
      </c>
      <c r="N50" s="51">
        <f>IF('Experimental Procedure'!$E$102=0,"NaN",J50/'Experimental Procedure'!$E$102*100)</f>
        <v>-0.15918333333333479</v>
      </c>
      <c r="O50" s="92">
        <f>IF('Experimental Procedure'!$G$102=0,"NaN",'Intel T265'!K50/'Experimental Procedure'!$G$102*100)</f>
        <v>0.29495164532329227</v>
      </c>
      <c r="P50" s="51" t="str">
        <f>IF('Experimental Procedure'!$F$102=0,"NaN",L50/'Experimental Procedure'!$F$102*100)</f>
        <v>NaN</v>
      </c>
      <c r="Q50" s="109" t="str">
        <f>IF('Experimental Procedure'!$H$102=0,"NaN",'Intel T265'!M50/'Experimental Procedure'!$H$102*100)</f>
        <v>NaN</v>
      </c>
    </row>
    <row r="51" spans="4:17" x14ac:dyDescent="0.25">
      <c r="D51" s="73"/>
      <c r="E51" s="9" t="s">
        <v>135</v>
      </c>
      <c r="F51" s="19">
        <v>1.401813</v>
      </c>
      <c r="G51" s="49">
        <v>3.7986140000000002</v>
      </c>
      <c r="H51" s="87"/>
      <c r="I51" s="90"/>
      <c r="J51" s="19">
        <f>'Intel T265'!F51-'Experimental Procedure'!$C$103</f>
        <v>1.8130000000000646E-3</v>
      </c>
      <c r="K51" s="87"/>
      <c r="L51" s="49">
        <f>IF('Intel T265'!G51-'Experimental Procedure'!$D$103&lt;-180,'Intel T265'!G51-'Experimental Procedure'!$D$103 + 360,IF('Intel T265'!G51-'Experimental Procedure'!$D$103&gt;180,'Intel T265'!G51-'Experimental Procedure'!$D$103 - 360,'Intel T265'!G51-'Experimental Procedure'!$D$103))</f>
        <v>3.7986140000000002</v>
      </c>
      <c r="M51" s="90"/>
      <c r="N51" s="52" t="str">
        <f>IF('Experimental Procedure'!$E$103=0,"NaN",J51/'Experimental Procedure'!$E$103*100)</f>
        <v>NaN</v>
      </c>
      <c r="O51" s="93"/>
      <c r="P51" s="52" t="str">
        <f>IF('Experimental Procedure'!$F$103=0,"NaN",L51/'Experimental Procedure'!$F$103*100)</f>
        <v>NaN</v>
      </c>
      <c r="Q51" s="110"/>
    </row>
    <row r="52" spans="4:17" ht="15.75" thickBot="1" x14ac:dyDescent="0.3">
      <c r="D52" s="74"/>
      <c r="E52" s="10" t="s">
        <v>136</v>
      </c>
      <c r="F52" s="21">
        <v>-1.478779E-2</v>
      </c>
      <c r="G52" s="50">
        <v>1.4816290000000001</v>
      </c>
      <c r="H52" s="88"/>
      <c r="I52" s="91"/>
      <c r="J52" s="21">
        <f>'Intel T265'!F52-'Experimental Procedure'!$C$104</f>
        <v>-1.478779E-2</v>
      </c>
      <c r="K52" s="88"/>
      <c r="L52" s="50">
        <f>IF('Intel T265'!G52-'Experimental Procedure'!$D$104&lt;-180,'Intel T265'!G52-'Experimental Procedure'!$D$104 + 360,IF('Intel T265'!G52-'Experimental Procedure'!$D$104&gt;180,'Intel T265'!G52-'Experimental Procedure'!$D$104 - 360,'Intel T265'!G52-'Experimental Procedure'!$D$104))</f>
        <v>1.4816290000000001</v>
      </c>
      <c r="M52" s="91"/>
      <c r="N52" s="53" t="str">
        <f>IF('Experimental Procedure'!$E$104=0,"NaN",J52/'Experimental Procedure'!$E$104*100)</f>
        <v>NaN</v>
      </c>
      <c r="O52" s="94"/>
      <c r="P52" s="53" t="str">
        <f>IF('Experimental Procedure'!$F$104=0,"NaN",L52/'Experimental Procedure'!$F$104*100)</f>
        <v>NaN</v>
      </c>
      <c r="Q52" s="111"/>
    </row>
    <row r="53" spans="4:17" ht="15.75" thickBot="1" x14ac:dyDescent="0.3">
      <c r="D53" s="29" t="s">
        <v>148</v>
      </c>
      <c r="E53" s="29"/>
      <c r="F53" s="40"/>
      <c r="G53" s="24"/>
      <c r="H53" s="24"/>
      <c r="I53" s="67"/>
      <c r="J53" s="24"/>
      <c r="K53" s="24"/>
      <c r="L53" s="26"/>
      <c r="M53" s="24"/>
      <c r="O53" s="30"/>
      <c r="P53" s="13"/>
      <c r="Q53" s="31"/>
    </row>
    <row r="54" spans="4:17" ht="15.75" thickBot="1" x14ac:dyDescent="0.3">
      <c r="D54" s="75" t="s">
        <v>163</v>
      </c>
      <c r="E54" s="76"/>
      <c r="F54" s="12" t="s">
        <v>137</v>
      </c>
      <c r="G54" s="23" t="s">
        <v>197</v>
      </c>
      <c r="H54" s="16" t="s">
        <v>178</v>
      </c>
      <c r="I54" s="65" t="s">
        <v>179</v>
      </c>
      <c r="J54" s="16" t="s">
        <v>143</v>
      </c>
      <c r="K54" s="34" t="s">
        <v>168</v>
      </c>
      <c r="L54" s="23" t="s">
        <v>144</v>
      </c>
      <c r="M54" s="12" t="s">
        <v>167</v>
      </c>
      <c r="N54" s="16" t="s">
        <v>141</v>
      </c>
      <c r="O54" s="16" t="s">
        <v>171</v>
      </c>
      <c r="P54" s="23" t="s">
        <v>142</v>
      </c>
      <c r="Q54" s="23" t="s">
        <v>172</v>
      </c>
    </row>
    <row r="55" spans="4:17" x14ac:dyDescent="0.25">
      <c r="D55" s="72" t="s">
        <v>180</v>
      </c>
      <c r="E55" s="9" t="s">
        <v>134</v>
      </c>
      <c r="F55" s="17">
        <v>6.0244</v>
      </c>
      <c r="G55" s="45">
        <v>359.72469999999998</v>
      </c>
      <c r="H55" s="86">
        <v>0</v>
      </c>
      <c r="I55" s="89">
        <v>0</v>
      </c>
      <c r="J55" s="17">
        <f>'Intel T265'!F55-'Experimental Procedure'!$C$90</f>
        <v>2.4399999999999977E-2</v>
      </c>
      <c r="K55" s="95">
        <f>SQRT(J55^2+J56^2+J57^2)</f>
        <v>2.4943187947814503E-2</v>
      </c>
      <c r="L55" s="48">
        <f>IF('Intel T265'!G55-'Experimental Procedure'!$D$90&lt;-180,'Intel T265'!G55-'Experimental Procedure'!$D$90 + 360,IF('Intel T265'!G55-'Experimental Procedure'!$D$90&gt;180,'Intel T265'!G55-'Experimental Procedure'!$D$90 - 360,'Intel T265'!G55-'Experimental Procedure'!$D$90))</f>
        <v>-0.27530000000001564</v>
      </c>
      <c r="M55" s="106">
        <v>5.343176612255669</v>
      </c>
      <c r="N55" s="51" t="str">
        <f>IF('Experimental Procedure'!$E$90=0,"NaN",J55/'Experimental Procedure'!$E$90*100)</f>
        <v>NaN</v>
      </c>
      <c r="O55" s="92" t="str">
        <f>IF('Experimental Procedure'!$G$90=0,"NaN",'Intel T265'!K55/'Experimental Procedure'!$G$90*100)</f>
        <v>NaN</v>
      </c>
      <c r="P55" s="51" t="str">
        <f>IF('Experimental Procedure'!$F$90=0,"NaN",L55/'Experimental Procedure'!$F$90*100)</f>
        <v>NaN</v>
      </c>
      <c r="Q55" s="109" t="str">
        <f>IF('Experimental Procedure'!$H$90=0,"NaN",'Intel T265'!M55/'Experimental Procedure'!$H$90*100)</f>
        <v>NaN</v>
      </c>
    </row>
    <row r="56" spans="4:17" x14ac:dyDescent="0.25">
      <c r="D56" s="73"/>
      <c r="E56" s="9" t="s">
        <v>135</v>
      </c>
      <c r="F56" s="19">
        <v>1.3989050000000001</v>
      </c>
      <c r="G56" s="46">
        <v>5.3358100000000004</v>
      </c>
      <c r="H56" s="87"/>
      <c r="I56" s="90"/>
      <c r="J56" s="19">
        <f>'Intel T265'!F56-'Experimental Procedure'!$C$91</f>
        <v>-1.0949999999998461E-3</v>
      </c>
      <c r="K56" s="96"/>
      <c r="L56" s="49">
        <f>IF('Intel T265'!G56-'Experimental Procedure'!$D$91&lt;-180,'Intel T265'!G56-'Experimental Procedure'!$D$91 + 360,IF('Intel T265'!G56-'Experimental Procedure'!$D$91&gt;180,'Intel T265'!G56-'Experimental Procedure'!$D$91 - 360,'Intel T265'!G56-'Experimental Procedure'!$D$91))</f>
        <v>5.3358100000000004</v>
      </c>
      <c r="M56" s="107"/>
      <c r="N56" s="52" t="str">
        <f>IF('Experimental Procedure'!$E$91=0,"NaN",J56/'Experimental Procedure'!$E$91*100)</f>
        <v>NaN</v>
      </c>
      <c r="O56" s="93"/>
      <c r="P56" s="52" t="str">
        <f>IF('Experimental Procedure'!$F$91=0,"NaN",L56/'Experimental Procedure'!$F$91*100)</f>
        <v>NaN</v>
      </c>
      <c r="Q56" s="110"/>
    </row>
    <row r="57" spans="4:17" ht="15.75" thickBot="1" x14ac:dyDescent="0.3">
      <c r="D57" s="74"/>
      <c r="E57" s="10" t="s">
        <v>136</v>
      </c>
      <c r="F57" s="21">
        <v>5.0600000000000003E-3</v>
      </c>
      <c r="G57" s="47">
        <v>359.93150000000003</v>
      </c>
      <c r="H57" s="88"/>
      <c r="I57" s="91"/>
      <c r="J57" s="21">
        <f>'Intel T265'!F57-'Experimental Procedure'!$C$92</f>
        <v>5.0600000000000003E-3</v>
      </c>
      <c r="K57" s="97"/>
      <c r="L57" s="50">
        <f>IF('Intel T265'!G57-'Experimental Procedure'!$D$92&lt;-180,'Intel T265'!G57-'Experimental Procedure'!$D$92 + 360,IF('Intel T265'!G57-'Experimental Procedure'!$D$92&gt;180,'Intel T265'!G57-'Experimental Procedure'!$D$92 - 360,'Intel T265'!G57-'Experimental Procedure'!$D$92))</f>
        <v>-6.8499999999971806E-2</v>
      </c>
      <c r="M57" s="108"/>
      <c r="N57" s="53" t="str">
        <f>IF('Experimental Procedure'!$E$92=0,"NaN",J57/'Experimental Procedure'!$E$92*100)</f>
        <v>NaN</v>
      </c>
      <c r="O57" s="94"/>
      <c r="P57" s="53" t="str">
        <f>IF('Experimental Procedure'!$F$92=0,"NaN",L57/'Experimental Procedure'!$F$92*100)</f>
        <v>NaN</v>
      </c>
      <c r="Q57" s="111"/>
    </row>
    <row r="58" spans="4:17" x14ac:dyDescent="0.25">
      <c r="D58" s="72" t="s">
        <v>189</v>
      </c>
      <c r="E58" s="8" t="s">
        <v>134</v>
      </c>
      <c r="F58" s="17">
        <v>6.3442299999999996</v>
      </c>
      <c r="G58" s="48">
        <v>2.0605000000000002</v>
      </c>
      <c r="H58" s="86">
        <f>SQRT((F55-F58)^2+(F56-F59)^2+(F57-F60)^2)</f>
        <v>4.1600994245940806</v>
      </c>
      <c r="I58" s="89">
        <v>2.9261210736092322</v>
      </c>
      <c r="J58" s="17">
        <f>'Intel T265'!F58-'Experimental Procedure'!$C$93</f>
        <v>0.34422999999999959</v>
      </c>
      <c r="K58" s="86">
        <f t="shared" ref="K58" si="10">SQRT(J58^2+J59^2+J60^2)</f>
        <v>0.38447259141972628</v>
      </c>
      <c r="L58" s="48">
        <f>IF('Intel T265'!G58-'Experimental Procedure'!$D$93&lt;-180,'Intel T265'!G58-'Experimental Procedure'!$D$93 + 360,IF('Intel T265'!G58-'Experimental Procedure'!$D$93&gt;180,'Intel T265'!G58-'Experimental Procedure'!$D$93 - 360,'Intel T265'!G58-'Experimental Procedure'!$D$93))</f>
        <v>2.0605000000000002</v>
      </c>
      <c r="M58" s="89">
        <v>4.1655272832793271</v>
      </c>
      <c r="N58" s="51" t="str">
        <f>IF('Experimental Procedure'!$E$93=0,"NaN",J58/'Experimental Procedure'!$E$93*100)</f>
        <v>NaN</v>
      </c>
      <c r="O58" s="92">
        <f>IF('Experimental Procedure'!$G$93=0,"NaN",'Intel T265'!K58/'Experimental Procedure'!$G$93*100)</f>
        <v>9.6118147854931575</v>
      </c>
      <c r="P58" s="51" t="str">
        <f>IF('Experimental Procedure'!$F$93=0,"NaN",L58/'Experimental Procedure'!$F$93*100)</f>
        <v>NaN</v>
      </c>
      <c r="Q58" s="109" t="str">
        <f>IF('Experimental Procedure'!$H$93=0,"NaN",'Intel T265'!M58/'Experimental Procedure'!$H$93*100)</f>
        <v>NaN</v>
      </c>
    </row>
    <row r="59" spans="4:17" x14ac:dyDescent="0.25">
      <c r="D59" s="73"/>
      <c r="E59" s="9" t="s">
        <v>135</v>
      </c>
      <c r="F59" s="19">
        <v>1.3213630000000001</v>
      </c>
      <c r="G59" s="49">
        <v>3.61436</v>
      </c>
      <c r="H59" s="87"/>
      <c r="I59" s="90"/>
      <c r="J59" s="19">
        <f>'Intel T265'!F59-'Experimental Procedure'!$C$94</f>
        <v>-7.8636999999999846E-2</v>
      </c>
      <c r="K59" s="87"/>
      <c r="L59" s="49">
        <f>IF('Intel T265'!G59-'Experimental Procedure'!$D$94&lt;-180,'Intel T265'!G59-'Experimental Procedure'!$D$94 + 360,IF('Intel T265'!G59-'Experimental Procedure'!$D$94&gt;180,'Intel T265'!G59-'Experimental Procedure'!$D$94 - 360,'Intel T265'!G59-'Experimental Procedure'!$D$94))</f>
        <v>3.61436</v>
      </c>
      <c r="M59" s="90"/>
      <c r="N59" s="52" t="str">
        <f>IF('Experimental Procedure'!$E$94=0,"NaN",J59/'Experimental Procedure'!$E$94*100)</f>
        <v>NaN</v>
      </c>
      <c r="O59" s="93"/>
      <c r="P59" s="52" t="str">
        <f>IF('Experimental Procedure'!$F$94=0,"NaN",L59/'Experimental Procedure'!$F$94*100)</f>
        <v>NaN</v>
      </c>
      <c r="Q59" s="110"/>
    </row>
    <row r="60" spans="4:17" ht="15.75" thickBot="1" x14ac:dyDescent="0.3">
      <c r="D60" s="74"/>
      <c r="E60" s="10" t="s">
        <v>136</v>
      </c>
      <c r="F60" s="21">
        <v>4.1521220000000003</v>
      </c>
      <c r="G60" s="50">
        <v>0.28414</v>
      </c>
      <c r="H60" s="88"/>
      <c r="I60" s="91"/>
      <c r="J60" s="21">
        <f>'Intel T265'!F60-'Experimental Procedure'!$C$95</f>
        <v>0.15212200000000031</v>
      </c>
      <c r="K60" s="88"/>
      <c r="L60" s="50">
        <f>IF('Intel T265'!G60-'Experimental Procedure'!$D$95&lt;-180,'Intel T265'!G60-'Experimental Procedure'!$D$95 + 360,IF('Intel T265'!G60-'Experimental Procedure'!$D$95&gt;180,'Intel T265'!G60-'Experimental Procedure'!$D$95 - 360,'Intel T265'!G60-'Experimental Procedure'!$D$95))</f>
        <v>0.28414</v>
      </c>
      <c r="M60" s="91"/>
      <c r="N60" s="53">
        <f>IF('Experimental Procedure'!$E$95=0,"NaN",J60/'Experimental Procedure'!$E$95*100)</f>
        <v>3.8030500000000078</v>
      </c>
      <c r="O60" s="94"/>
      <c r="P60" s="53" t="str">
        <f>IF('Experimental Procedure'!$F$95=0,"NaN",L60/'Experimental Procedure'!$F$95*100)</f>
        <v>NaN</v>
      </c>
      <c r="Q60" s="111"/>
    </row>
    <row r="61" spans="4:17" x14ac:dyDescent="0.25">
      <c r="D61" s="72" t="s">
        <v>188</v>
      </c>
      <c r="E61" s="8" t="s">
        <v>134</v>
      </c>
      <c r="F61" s="17">
        <v>0.26</v>
      </c>
      <c r="G61" s="48">
        <v>358.8938</v>
      </c>
      <c r="H61" s="86">
        <f>SQRT((F58-F61)^2+(F59-F62)^2+(F60-F63)^2)</f>
        <v>6.0972498596201543</v>
      </c>
      <c r="I61" s="89">
        <v>3.3515172405156708</v>
      </c>
      <c r="J61" s="17">
        <f>'Intel T265'!F61-'Experimental Procedure'!$C$96</f>
        <v>0.26</v>
      </c>
      <c r="K61" s="86">
        <f t="shared" ref="K61" si="11">SQRT(J61^2+J62^2+J63^2)</f>
        <v>0.61858560864685475</v>
      </c>
      <c r="L61" s="48">
        <f>IF('Intel T265'!G61-'Experimental Procedure'!$D$96&lt;-180,'Intel T265'!G61-'Experimental Procedure'!$D$96 + 360,IF('Intel T265'!G61-'Experimental Procedure'!$D$96&gt;180,'Intel T265'!G61-'Experimental Procedure'!$D$96 - 360,'Intel T265'!G61-'Experimental Procedure'!$D$96))</f>
        <v>-1.1062000000000012</v>
      </c>
      <c r="M61" s="89">
        <v>4.8404464726124736</v>
      </c>
      <c r="N61" s="51">
        <f>IF('Experimental Procedure'!$E$96=0,"NaN",J61/'Experimental Procedure'!$E$96*100)</f>
        <v>4.3333333333333339</v>
      </c>
      <c r="O61" s="92">
        <f>IF('Experimental Procedure'!$G$96=0,"NaN",'Intel T265'!K61/'Experimental Procedure'!$G$96*100)</f>
        <v>10.309760144114245</v>
      </c>
      <c r="P61" s="51" t="str">
        <f>IF('Experimental Procedure'!$F$96=0,"NaN",L61/'Experimental Procedure'!$F$96*100)</f>
        <v>NaN</v>
      </c>
      <c r="Q61" s="109" t="str">
        <f>IF('Experimental Procedure'!$H$96=0,"NaN",'Intel T265'!M61/'Experimental Procedure'!$H$96*100)</f>
        <v>NaN</v>
      </c>
    </row>
    <row r="62" spans="4:17" x14ac:dyDescent="0.25">
      <c r="D62" s="73"/>
      <c r="E62" s="9" t="s">
        <v>135</v>
      </c>
      <c r="F62" s="19">
        <v>1.2791399999999999</v>
      </c>
      <c r="G62" s="49">
        <v>4.6683149999999998</v>
      </c>
      <c r="H62" s="87"/>
      <c r="I62" s="90"/>
      <c r="J62" s="19">
        <f>'Intel T265'!F62-'Experimental Procedure'!$C$97</f>
        <v>-0.12085999999999997</v>
      </c>
      <c r="K62" s="87"/>
      <c r="L62" s="49">
        <f>IF('Intel T265'!G62-'Experimental Procedure'!$D$97&lt;-180,'Intel T265'!G62-'Experimental Procedure'!$D$97 + 360,IF('Intel T265'!G62-'Experimental Procedure'!$D$97&gt;180,'Intel T265'!G62-'Experimental Procedure'!$D$97 - 360,'Intel T265'!G62-'Experimental Procedure'!$D$97))</f>
        <v>4.6683149999999998</v>
      </c>
      <c r="M62" s="90"/>
      <c r="N62" s="52" t="str">
        <f>IF('Experimental Procedure'!$E$97=0,"NaN",J62/'Experimental Procedure'!$E$97*100)</f>
        <v>NaN</v>
      </c>
      <c r="O62" s="93"/>
      <c r="P62" s="52" t="str">
        <f>IF('Experimental Procedure'!$F$97=0,"NaN",L62/'Experimental Procedure'!$F$97*100)</f>
        <v>NaN</v>
      </c>
      <c r="Q62" s="110"/>
    </row>
    <row r="63" spans="4:17" ht="15.75" thickBot="1" x14ac:dyDescent="0.3">
      <c r="D63" s="74"/>
      <c r="E63" s="10" t="s">
        <v>136</v>
      </c>
      <c r="F63" s="21">
        <v>4.5481249999999998</v>
      </c>
      <c r="G63" s="50">
        <v>0.59991300000000003</v>
      </c>
      <c r="H63" s="88"/>
      <c r="I63" s="91"/>
      <c r="J63" s="21">
        <f>'Intel T265'!F63-'Experimental Procedure'!$C$98</f>
        <v>0.54812499999999975</v>
      </c>
      <c r="K63" s="88"/>
      <c r="L63" s="50">
        <f>IF('Intel T265'!G63-'Experimental Procedure'!$D$98&lt;-180,'Intel T265'!G63-'Experimental Procedure'!$D$98 + 360,IF('Intel T265'!G63-'Experimental Procedure'!$D$98&gt;180,'Intel T265'!G63-'Experimental Procedure'!$D$98 - 360,'Intel T265'!G63-'Experimental Procedure'!$D$98))</f>
        <v>0.59991300000000003</v>
      </c>
      <c r="M63" s="91"/>
      <c r="N63" s="53" t="str">
        <f>IF('Experimental Procedure'!$E$98=0,"NaN",J63/'Experimental Procedure'!$E$98*100)</f>
        <v>NaN</v>
      </c>
      <c r="O63" s="94"/>
      <c r="P63" s="53" t="str">
        <f>IF('Experimental Procedure'!$F$98=0,"NaN",L63/'Experimental Procedure'!$F$98*100)</f>
        <v>NaN</v>
      </c>
      <c r="Q63" s="111"/>
    </row>
    <row r="64" spans="4:17" x14ac:dyDescent="0.25">
      <c r="D64" s="72" t="s">
        <v>190</v>
      </c>
      <c r="E64" s="9" t="s">
        <v>134</v>
      </c>
      <c r="F64" s="17">
        <v>-0.11559999999999999</v>
      </c>
      <c r="G64" s="48">
        <v>358.17149999999998</v>
      </c>
      <c r="H64" s="86">
        <f>SQRT((F61-F64)^2+(F62-F65)^2+(F63-F66)^2)</f>
        <v>3.9133715445258459</v>
      </c>
      <c r="I64" s="89">
        <v>1.3008936557054074</v>
      </c>
      <c r="J64" s="17">
        <f>'Intel T265'!F64-'Experimental Procedure'!$C$99</f>
        <v>-0.11559999999999999</v>
      </c>
      <c r="K64" s="86">
        <f t="shared" ref="K64" si="12">SQRT(J64^2+J65^2+J66^2)</f>
        <v>0.7021167844202344</v>
      </c>
      <c r="L64" s="48">
        <f>IF('Intel T265'!G64-'Experimental Procedure'!$D$99&lt;-180,'Intel T265'!G64-'Experimental Procedure'!$D$99 + 360,IF('Intel T265'!G64-'Experimental Procedure'!$D$99&gt;180,'Intel T265'!G64-'Experimental Procedure'!$D$99 - 360,'Intel T265'!G64-'Experimental Procedure'!$D$99))</f>
        <v>-1.8285000000000196</v>
      </c>
      <c r="M64" s="89">
        <v>6.0772086545454886</v>
      </c>
      <c r="N64" s="51" t="str">
        <f>IF('Experimental Procedure'!$E$99=0,"NaN",J64/'Experimental Procedure'!$E$99*100)</f>
        <v>NaN</v>
      </c>
      <c r="O64" s="92">
        <f>IF('Experimental Procedure'!$G$99=0,"NaN",'Intel T265'!K64/'Experimental Procedure'!$G$99*100)</f>
        <v>17.55291961050586</v>
      </c>
      <c r="P64" s="51" t="str">
        <f>IF('Experimental Procedure'!$F$99=0,"NaN",L64/'Experimental Procedure'!$F$99*100)</f>
        <v>NaN</v>
      </c>
      <c r="Q64" s="109" t="str">
        <f>IF('Experimental Procedure'!$H$99=0,"NaN",'Intel T265'!M64/'Experimental Procedure'!$H$99*100)</f>
        <v>NaN</v>
      </c>
    </row>
    <row r="65" spans="4:17" x14ac:dyDescent="0.25">
      <c r="D65" s="73"/>
      <c r="E65" s="9" t="s">
        <v>135</v>
      </c>
      <c r="F65" s="19">
        <v>1.1729769999999999</v>
      </c>
      <c r="G65" s="49">
        <v>5.7458729999999996</v>
      </c>
      <c r="H65" s="87"/>
      <c r="I65" s="90"/>
      <c r="J65" s="19">
        <f>'Intel T265'!F65-'Experimental Procedure'!$C$100</f>
        <v>-0.22702299999999997</v>
      </c>
      <c r="K65" s="87"/>
      <c r="L65" s="49">
        <f>IF('Intel T265'!G65-'Experimental Procedure'!$D$100&lt;-180,'Intel T265'!G65-'Experimental Procedure'!$D$100 + 360,IF('Intel T265'!G65-'Experimental Procedure'!$D$100&gt;180,'Intel T265'!G65-'Experimental Procedure'!$D$100 - 360,'Intel T265'!G65-'Experimental Procedure'!$D$100))</f>
        <v>5.7458729999999996</v>
      </c>
      <c r="M65" s="90"/>
      <c r="N65" s="52" t="str">
        <f>IF('Experimental Procedure'!$E$100=0,"NaN",J65/'Experimental Procedure'!$E$100*100)</f>
        <v>NaN</v>
      </c>
      <c r="O65" s="93"/>
      <c r="P65" s="52" t="str">
        <f>IF('Experimental Procedure'!$F$100=0,"NaN",L65/'Experimental Procedure'!$F$100*100)</f>
        <v>NaN</v>
      </c>
      <c r="Q65" s="110"/>
    </row>
    <row r="66" spans="4:17" ht="15.75" thickBot="1" x14ac:dyDescent="0.3">
      <c r="D66" s="74"/>
      <c r="E66" s="10" t="s">
        <v>136</v>
      </c>
      <c r="F66" s="21">
        <v>0.65426689999999998</v>
      </c>
      <c r="G66" s="50">
        <v>0.67357549999999999</v>
      </c>
      <c r="H66" s="88"/>
      <c r="I66" s="91"/>
      <c r="J66" s="21">
        <f>'Intel T265'!F66-'Experimental Procedure'!$C$101</f>
        <v>0.65426689999999998</v>
      </c>
      <c r="K66" s="88"/>
      <c r="L66" s="50">
        <f>IF('Intel T265'!G66-'Experimental Procedure'!$D$101&lt;-180,'Intel T265'!G66-'Experimental Procedure'!$D$101 + 360,IF('Intel T265'!G66-'Experimental Procedure'!$D$101&gt;180,'Intel T265'!G66-'Experimental Procedure'!$D$101 - 360,'Intel T265'!G66-'Experimental Procedure'!$D$101))</f>
        <v>0.67357549999999999</v>
      </c>
      <c r="M66" s="91"/>
      <c r="N66" s="53">
        <f>IF('Experimental Procedure'!$E$101=0,"NaN",J66/'Experimental Procedure'!$E$101*100)</f>
        <v>16.356672499999998</v>
      </c>
      <c r="O66" s="94"/>
      <c r="P66" s="53" t="str">
        <f>IF('Experimental Procedure'!$F$101=0,"NaN",L66/'Experimental Procedure'!$F$101*100)</f>
        <v>NaN</v>
      </c>
      <c r="Q66" s="111"/>
    </row>
    <row r="67" spans="4:17" x14ac:dyDescent="0.25">
      <c r="D67" s="72" t="s">
        <v>180</v>
      </c>
      <c r="E67" s="8" t="s">
        <v>134</v>
      </c>
      <c r="F67" s="17">
        <v>5.9579930000000001</v>
      </c>
      <c r="G67" s="48">
        <v>4.12242</v>
      </c>
      <c r="H67" s="86">
        <f>SQRT((F64-F67)^2+(F65-F68)^2+(F66-F69)^2)</f>
        <v>6.1066440092260263</v>
      </c>
      <c r="I67" s="89">
        <v>6.3180043300740811</v>
      </c>
      <c r="J67" s="17">
        <f>'Intel T265'!F67-'Experimental Procedure'!$C$102</f>
        <v>-4.2006999999999906E-2</v>
      </c>
      <c r="K67" s="86">
        <f t="shared" ref="K67" si="13">SQRT(J67^2+J68^2+J69^2)</f>
        <v>7.7626065230910632E-2</v>
      </c>
      <c r="L67" s="48">
        <f>IF('Intel T265'!G67-'Experimental Procedure'!$D$102&lt;-180,'Intel T265'!G67-'Experimental Procedure'!$D$102 + 360,IF('Intel T265'!G67-'Experimental Procedure'!$D$102&gt;180,'Intel T265'!G67-'Experimental Procedure'!$D$102 - 360,'Intel T265'!G67-'Experimental Procedure'!$D$102))</f>
        <v>4.12242</v>
      </c>
      <c r="M67" s="89">
        <v>5.762475191910128</v>
      </c>
      <c r="N67" s="51">
        <f>IF('Experimental Procedure'!$E$102=0,"NaN",J67/'Experimental Procedure'!$E$102*100)</f>
        <v>-0.70011666666666517</v>
      </c>
      <c r="O67" s="92">
        <f>IF('Experimental Procedure'!$G$102=0,"NaN",'Intel T265'!K67/'Experimental Procedure'!$G$102*100)</f>
        <v>1.2937677538485106</v>
      </c>
      <c r="P67" s="51" t="str">
        <f>IF('Experimental Procedure'!$F$102=0,"NaN",L67/'Experimental Procedure'!$F$102*100)</f>
        <v>NaN</v>
      </c>
      <c r="Q67" s="109" t="str">
        <f>IF('Experimental Procedure'!$H$102=0,"NaN",'Intel T265'!M67/'Experimental Procedure'!$H$102*100)</f>
        <v>NaN</v>
      </c>
    </row>
    <row r="68" spans="4:17" x14ac:dyDescent="0.25">
      <c r="D68" s="73"/>
      <c r="E68" s="9" t="s">
        <v>135</v>
      </c>
      <c r="F68" s="19">
        <v>1.407748</v>
      </c>
      <c r="G68" s="49">
        <v>3.7986140000000002</v>
      </c>
      <c r="H68" s="87"/>
      <c r="I68" s="90"/>
      <c r="J68" s="19">
        <f>'Intel T265'!F68-'Experimental Procedure'!$C$103</f>
        <v>7.7480000000000881E-3</v>
      </c>
      <c r="K68" s="87"/>
      <c r="L68" s="49">
        <f>IF('Intel T265'!G68-'Experimental Procedure'!$D$103&lt;-180,'Intel T265'!G68-'Experimental Procedure'!$D$103 + 360,IF('Intel T265'!G68-'Experimental Procedure'!$D$103&gt;180,'Intel T265'!G68-'Experimental Procedure'!$D$103 - 360,'Intel T265'!G68-'Experimental Procedure'!$D$103))</f>
        <v>3.7986140000000002</v>
      </c>
      <c r="M68" s="90"/>
      <c r="N68" s="52" t="str">
        <f>IF('Experimental Procedure'!$E$103=0,"NaN",J68/'Experimental Procedure'!$E$103*100)</f>
        <v>NaN</v>
      </c>
      <c r="O68" s="93"/>
      <c r="P68" s="52" t="str">
        <f>IF('Experimental Procedure'!$F$103=0,"NaN",L68/'Experimental Procedure'!$F$103*100)</f>
        <v>NaN</v>
      </c>
      <c r="Q68" s="110"/>
    </row>
    <row r="69" spans="4:17" ht="15.75" thickBot="1" x14ac:dyDescent="0.3">
      <c r="D69" s="74"/>
      <c r="E69" s="10" t="s">
        <v>136</v>
      </c>
      <c r="F69" s="21">
        <v>6.4816559999999995E-2</v>
      </c>
      <c r="G69" s="50">
        <v>1.4816290000000001</v>
      </c>
      <c r="H69" s="88"/>
      <c r="I69" s="91"/>
      <c r="J69" s="21">
        <f>'Intel T265'!F69-'Experimental Procedure'!$C$104</f>
        <v>6.4816559999999995E-2</v>
      </c>
      <c r="K69" s="88"/>
      <c r="L69" s="50">
        <f>IF('Intel T265'!G69-'Experimental Procedure'!$D$104&lt;-180,'Intel T265'!G69-'Experimental Procedure'!$D$104 + 360,IF('Intel T265'!G69-'Experimental Procedure'!$D$104&gt;180,'Intel T265'!G69-'Experimental Procedure'!$D$104 - 360,'Intel T265'!G69-'Experimental Procedure'!$D$104))</f>
        <v>1.4816290000000001</v>
      </c>
      <c r="M69" s="91"/>
      <c r="N69" s="53" t="str">
        <f>IF('Experimental Procedure'!$E$104=0,"NaN",J69/'Experimental Procedure'!$E$104*100)</f>
        <v>NaN</v>
      </c>
      <c r="O69" s="94"/>
      <c r="P69" s="53" t="str">
        <f>IF('Experimental Procedure'!$F$104=0,"NaN",L69/'Experimental Procedure'!$F$104*100)</f>
        <v>NaN</v>
      </c>
      <c r="Q69" s="111"/>
    </row>
    <row r="70" spans="4:17" ht="15.75" thickBot="1" x14ac:dyDescent="0.3">
      <c r="D70" s="15" t="s">
        <v>149</v>
      </c>
      <c r="E70" s="15"/>
      <c r="F70" s="15"/>
      <c r="I70" s="66"/>
    </row>
    <row r="71" spans="4:17" ht="15.75" thickBot="1" x14ac:dyDescent="0.3">
      <c r="D71" s="75" t="s">
        <v>163</v>
      </c>
      <c r="E71" s="76"/>
      <c r="F71" s="12" t="s">
        <v>137</v>
      </c>
      <c r="G71" s="23" t="s">
        <v>197</v>
      </c>
      <c r="H71" s="16" t="s">
        <v>178</v>
      </c>
      <c r="I71" s="65" t="s">
        <v>179</v>
      </c>
      <c r="J71" s="16" t="s">
        <v>143</v>
      </c>
      <c r="K71" s="34" t="s">
        <v>168</v>
      </c>
      <c r="L71" s="23" t="s">
        <v>144</v>
      </c>
      <c r="M71" s="12" t="s">
        <v>167</v>
      </c>
      <c r="N71" s="16" t="s">
        <v>141</v>
      </c>
      <c r="O71" s="16" t="s">
        <v>171</v>
      </c>
      <c r="P71" s="23" t="s">
        <v>142</v>
      </c>
      <c r="Q71" s="23" t="s">
        <v>172</v>
      </c>
    </row>
    <row r="72" spans="4:17" x14ac:dyDescent="0.25">
      <c r="D72" s="72" t="s">
        <v>180</v>
      </c>
      <c r="E72" s="9" t="s">
        <v>134</v>
      </c>
      <c r="F72" s="17">
        <v>6.0001670000000003</v>
      </c>
      <c r="G72" s="45">
        <v>358.53919999999999</v>
      </c>
      <c r="H72" s="86">
        <v>0</v>
      </c>
      <c r="I72" s="89">
        <v>0</v>
      </c>
      <c r="J72" s="17">
        <f>'Intel T265'!F72-'Experimental Procedure'!$C$90</f>
        <v>1.6700000000025028E-4</v>
      </c>
      <c r="K72" s="95">
        <f>SQRT(J72^2+J73^2+J74^2)</f>
        <v>4.7410930086367294E-3</v>
      </c>
      <c r="L72" s="48">
        <f>IF('Intel T265'!G72-'Experimental Procedure'!$D$90&lt;-180,'Intel T265'!G72-'Experimental Procedure'!$D$90 + 360,IF('Intel T265'!G72-'Experimental Procedure'!$D$90&gt;180,'Intel T265'!G72-'Experimental Procedure'!$D$90 - 360,'Intel T265'!G72-'Experimental Procedure'!$D$90))</f>
        <v>-1.4608000000000061</v>
      </c>
      <c r="M72" s="106">
        <v>1.5280203313936096</v>
      </c>
      <c r="N72" s="51" t="str">
        <f>IF('Experimental Procedure'!$E$90=0,"NaN",J72/'Experimental Procedure'!$E$90*100)</f>
        <v>NaN</v>
      </c>
      <c r="O72" s="92" t="str">
        <f>IF('Experimental Procedure'!$G$90=0,"NaN",'Intel T265'!K72/'Experimental Procedure'!$G$90*100)</f>
        <v>NaN</v>
      </c>
      <c r="P72" s="51" t="str">
        <f>IF('Experimental Procedure'!$F$90=0,"NaN",L72/'Experimental Procedure'!$F$90*100)</f>
        <v>NaN</v>
      </c>
      <c r="Q72" s="109" t="str">
        <f>IF('Experimental Procedure'!$H$90=0,"NaN",'Intel T265'!M72/'Experimental Procedure'!$H$90*100)</f>
        <v>NaN</v>
      </c>
    </row>
    <row r="73" spans="4:17" x14ac:dyDescent="0.25">
      <c r="D73" s="73"/>
      <c r="E73" s="9" t="s">
        <v>135</v>
      </c>
      <c r="F73" s="19">
        <v>1.4012469999999999</v>
      </c>
      <c r="G73" s="46">
        <v>0.4385</v>
      </c>
      <c r="H73" s="87"/>
      <c r="I73" s="90"/>
      <c r="J73" s="19">
        <f>'Intel T265'!F73-'Experimental Procedure'!$C$91</f>
        <v>1.2469999999999981E-3</v>
      </c>
      <c r="K73" s="96"/>
      <c r="L73" s="49">
        <f>IF('Intel T265'!G73-'Experimental Procedure'!$D$91&lt;-180,'Intel T265'!G73-'Experimental Procedure'!$D$91 + 360,IF('Intel T265'!G73-'Experimental Procedure'!$D$91&gt;180,'Intel T265'!G73-'Experimental Procedure'!$D$91 - 360,'Intel T265'!G73-'Experimental Procedure'!$D$91))</f>
        <v>0.4385</v>
      </c>
      <c r="M73" s="107"/>
      <c r="N73" s="52" t="str">
        <f>IF('Experimental Procedure'!$E$91=0,"NaN",J73/'Experimental Procedure'!$E$91*100)</f>
        <v>NaN</v>
      </c>
      <c r="O73" s="93"/>
      <c r="P73" s="52" t="str">
        <f>IF('Experimental Procedure'!$F$91=0,"NaN",L73/'Experimental Procedure'!$F$91*100)</f>
        <v>NaN</v>
      </c>
      <c r="Q73" s="110"/>
    </row>
    <row r="74" spans="4:17" ht="15.75" thickBot="1" x14ac:dyDescent="0.3">
      <c r="D74" s="74"/>
      <c r="E74" s="10" t="s">
        <v>136</v>
      </c>
      <c r="F74" s="21">
        <v>4.5711119999999996E-3</v>
      </c>
      <c r="G74" s="47">
        <v>359.90129999999999</v>
      </c>
      <c r="H74" s="88"/>
      <c r="I74" s="91"/>
      <c r="J74" s="21">
        <f>'Intel T265'!F74-'Experimental Procedure'!$C$92</f>
        <v>4.5711119999999996E-3</v>
      </c>
      <c r="K74" s="97"/>
      <c r="L74" s="50">
        <f>IF('Intel T265'!G74-'Experimental Procedure'!$D$92&lt;-180,'Intel T265'!G74-'Experimental Procedure'!$D$92 + 360,IF('Intel T265'!G74-'Experimental Procedure'!$D$92&gt;180,'Intel T265'!G74-'Experimental Procedure'!$D$92 - 360,'Intel T265'!G74-'Experimental Procedure'!$D$92))</f>
        <v>-9.8700000000008004E-2</v>
      </c>
      <c r="M74" s="108"/>
      <c r="N74" s="53" t="str">
        <f>IF('Experimental Procedure'!$E$92=0,"NaN",J74/'Experimental Procedure'!$E$92*100)</f>
        <v>NaN</v>
      </c>
      <c r="O74" s="94"/>
      <c r="P74" s="53" t="str">
        <f>IF('Experimental Procedure'!$F$92=0,"NaN",L74/'Experimental Procedure'!$F$92*100)</f>
        <v>NaN</v>
      </c>
      <c r="Q74" s="111"/>
    </row>
    <row r="75" spans="4:17" x14ac:dyDescent="0.25">
      <c r="D75" s="72" t="s">
        <v>189</v>
      </c>
      <c r="E75" s="8" t="s">
        <v>134</v>
      </c>
      <c r="F75" s="17">
        <v>6.5376729999999998</v>
      </c>
      <c r="G75" s="48">
        <v>357.19330000000002</v>
      </c>
      <c r="H75" s="86">
        <f>SQRT((F72-F75)^2+(F73-F76)^2+(F74-F77)^2)</f>
        <v>3.5276275638558841</v>
      </c>
      <c r="I75" s="89">
        <v>1.7248118066095168</v>
      </c>
      <c r="J75" s="17">
        <f>'Intel T265'!F75-'Experimental Procedure'!$C$93</f>
        <v>0.53767299999999985</v>
      </c>
      <c r="K75" s="86">
        <f t="shared" ref="K75" si="14">SQRT(J75^2+J76^2+J77^2)</f>
        <v>0.74167709810536808</v>
      </c>
      <c r="L75" s="48">
        <f>IF('Intel T265'!G75-'Experimental Procedure'!$D$93&lt;-180,'Intel T265'!G75-'Experimental Procedure'!$D$93 + 360,IF('Intel T265'!G75-'Experimental Procedure'!$D$93&gt;180,'Intel T265'!G75-'Experimental Procedure'!$D$93 - 360,'Intel T265'!G75-'Experimental Procedure'!$D$93))</f>
        <v>-2.806699999999978</v>
      </c>
      <c r="M75" s="89">
        <v>3.1821816449871556</v>
      </c>
      <c r="N75" s="51" t="str">
        <f>IF('Experimental Procedure'!$E$93=0,"NaN",J75/'Experimental Procedure'!$E$93*100)</f>
        <v>NaN</v>
      </c>
      <c r="O75" s="92">
        <f>IF('Experimental Procedure'!$G$93=0,"NaN",'Intel T265'!K75/'Experimental Procedure'!$G$93*100)</f>
        <v>18.541927452634202</v>
      </c>
      <c r="P75" s="51" t="str">
        <f>IF('Experimental Procedure'!$F$93=0,"NaN",L75/'Experimental Procedure'!$F$93*100)</f>
        <v>NaN</v>
      </c>
      <c r="Q75" s="109" t="str">
        <f>IF('Experimental Procedure'!$H$93=0,"NaN",'Intel T265'!M75/'Experimental Procedure'!$H$93*100)</f>
        <v>NaN</v>
      </c>
    </row>
    <row r="76" spans="4:17" x14ac:dyDescent="0.25">
      <c r="D76" s="73"/>
      <c r="E76" s="9" t="s">
        <v>135</v>
      </c>
      <c r="F76" s="19">
        <v>1.3592299999999999</v>
      </c>
      <c r="G76" s="49">
        <v>1.4956100000000001</v>
      </c>
      <c r="H76" s="87"/>
      <c r="I76" s="90"/>
      <c r="J76" s="19">
        <f>'Intel T265'!F76-'Experimental Procedure'!$C$94</f>
        <v>-4.0769999999999973E-2</v>
      </c>
      <c r="K76" s="87"/>
      <c r="L76" s="49">
        <f>IF('Intel T265'!G76-'Experimental Procedure'!$D$94&lt;-180,'Intel T265'!G76-'Experimental Procedure'!$D$94 + 360,IF('Intel T265'!G76-'Experimental Procedure'!$D$94&gt;180,'Intel T265'!G76-'Experimental Procedure'!$D$94 - 360,'Intel T265'!G76-'Experimental Procedure'!$D$94))</f>
        <v>1.4956100000000001</v>
      </c>
      <c r="M76" s="90"/>
      <c r="N76" s="52" t="str">
        <f>IF('Experimental Procedure'!$E$94=0,"NaN",J76/'Experimental Procedure'!$E$94*100)</f>
        <v>NaN</v>
      </c>
      <c r="O76" s="93"/>
      <c r="P76" s="52" t="str">
        <f>IF('Experimental Procedure'!$F$94=0,"NaN",L76/'Experimental Procedure'!$F$94*100)</f>
        <v>NaN</v>
      </c>
      <c r="Q76" s="110"/>
    </row>
    <row r="77" spans="4:17" ht="15.75" thickBot="1" x14ac:dyDescent="0.3">
      <c r="D77" s="74"/>
      <c r="E77" s="10" t="s">
        <v>136</v>
      </c>
      <c r="F77" s="21">
        <v>3.4907550000000001</v>
      </c>
      <c r="G77" s="50">
        <v>8.0229999999999996E-2</v>
      </c>
      <c r="H77" s="88"/>
      <c r="I77" s="91"/>
      <c r="J77" s="21">
        <f>'Intel T265'!F77-'Experimental Procedure'!$C$95</f>
        <v>-0.50924499999999995</v>
      </c>
      <c r="K77" s="88"/>
      <c r="L77" s="50">
        <f>IF('Intel T265'!G77-'Experimental Procedure'!$D$95&lt;-180,'Intel T265'!G77-'Experimental Procedure'!$D$95 + 360,IF('Intel T265'!G77-'Experimental Procedure'!$D$95&gt;180,'Intel T265'!G77-'Experimental Procedure'!$D$95 - 360,'Intel T265'!G77-'Experimental Procedure'!$D$95))</f>
        <v>8.0229999999999996E-2</v>
      </c>
      <c r="M77" s="91"/>
      <c r="N77" s="53">
        <f>IF('Experimental Procedure'!$E$95=0,"NaN",J77/'Experimental Procedure'!$E$95*100)</f>
        <v>-12.731124999999999</v>
      </c>
      <c r="O77" s="94"/>
      <c r="P77" s="53" t="str">
        <f>IF('Experimental Procedure'!$F$95=0,"NaN",L77/'Experimental Procedure'!$F$95*100)</f>
        <v>NaN</v>
      </c>
      <c r="Q77" s="111"/>
    </row>
    <row r="78" spans="4:17" x14ac:dyDescent="0.25">
      <c r="D78" s="72" t="s">
        <v>188</v>
      </c>
      <c r="E78" s="8" t="s">
        <v>134</v>
      </c>
      <c r="F78" s="17">
        <v>0.97592159999999994</v>
      </c>
      <c r="G78" s="48">
        <v>358.52019999999999</v>
      </c>
      <c r="H78" s="86">
        <f>SQRT((F75-F78)^2+(F76-F79)^2+(F77-F80)^2)</f>
        <v>5.6241767674492564</v>
      </c>
      <c r="I78" s="89">
        <v>1.6511133037583385</v>
      </c>
      <c r="J78" s="17">
        <f>'Intel T265'!F78-'Experimental Procedure'!$C$96</f>
        <v>0.97592159999999994</v>
      </c>
      <c r="K78" s="86">
        <f t="shared" ref="K78" si="15">SQRT(J78^2+J79^2+J80^2)</f>
        <v>1.0285651853215527</v>
      </c>
      <c r="L78" s="48">
        <f>IF('Intel T265'!G78-'Experimental Procedure'!$D$96&lt;-180,'Intel T265'!G78-'Experimental Procedure'!$D$96 + 360,IF('Intel T265'!G78-'Experimental Procedure'!$D$96&gt;180,'Intel T265'!G78-'Experimental Procedure'!$D$96 - 360,'Intel T265'!G78-'Experimental Procedure'!$D$96))</f>
        <v>-1.4798000000000116</v>
      </c>
      <c r="M78" s="89">
        <v>2.8519885732250336</v>
      </c>
      <c r="N78" s="51">
        <f>IF('Experimental Procedure'!$E$96=0,"NaN",J78/'Experimental Procedure'!$E$96*100)</f>
        <v>16.265359999999998</v>
      </c>
      <c r="O78" s="92">
        <f>IF('Experimental Procedure'!$G$96=0,"NaN",'Intel T265'!K78/'Experimental Procedure'!$G$96*100)</f>
        <v>17.142753088692544</v>
      </c>
      <c r="P78" s="51" t="str">
        <f>IF('Experimental Procedure'!$F$96=0,"NaN",L78/'Experimental Procedure'!$F$96*100)</f>
        <v>NaN</v>
      </c>
      <c r="Q78" s="109" t="str">
        <f>IF('Experimental Procedure'!$H$96=0,"NaN",'Intel T265'!M78/'Experimental Procedure'!$H$96*100)</f>
        <v>NaN</v>
      </c>
    </row>
    <row r="79" spans="4:17" x14ac:dyDescent="0.25">
      <c r="D79" s="73"/>
      <c r="E79" s="9" t="s">
        <v>135</v>
      </c>
      <c r="F79" s="19">
        <v>1.4165449999999999</v>
      </c>
      <c r="G79" s="49">
        <v>2.4264830000000002</v>
      </c>
      <c r="H79" s="87"/>
      <c r="I79" s="90"/>
      <c r="J79" s="19">
        <f>'Intel T265'!F79-'Experimental Procedure'!$C$97</f>
        <v>1.6545000000000032E-2</v>
      </c>
      <c r="K79" s="87"/>
      <c r="L79" s="49">
        <f>IF('Intel T265'!G79-'Experimental Procedure'!$D$97&lt;-180,'Intel T265'!G79-'Experimental Procedure'!$D$97 + 360,IF('Intel T265'!G79-'Experimental Procedure'!$D$97&gt;180,'Intel T265'!G79-'Experimental Procedure'!$D$97 - 360,'Intel T265'!G79-'Experimental Procedure'!$D$97))</f>
        <v>2.4264830000000002</v>
      </c>
      <c r="M79" s="90"/>
      <c r="N79" s="52" t="str">
        <f>IF('Experimental Procedure'!$E$97=0,"NaN",J79/'Experimental Procedure'!$E$97*100)</f>
        <v>NaN</v>
      </c>
      <c r="O79" s="93"/>
      <c r="P79" s="52" t="str">
        <f>IF('Experimental Procedure'!$F$97=0,"NaN",L79/'Experimental Procedure'!$F$97*100)</f>
        <v>NaN</v>
      </c>
      <c r="Q79" s="110"/>
    </row>
    <row r="80" spans="4:17" ht="15.75" thickBot="1" x14ac:dyDescent="0.3">
      <c r="D80" s="74"/>
      <c r="E80" s="10" t="s">
        <v>136</v>
      </c>
      <c r="F80" s="21">
        <v>4.3244220000000002</v>
      </c>
      <c r="G80" s="50">
        <v>359.72879999999998</v>
      </c>
      <c r="H80" s="88"/>
      <c r="I80" s="91"/>
      <c r="J80" s="21">
        <f>'Intel T265'!F80-'Experimental Procedure'!$C$98</f>
        <v>0.32442200000000021</v>
      </c>
      <c r="K80" s="88"/>
      <c r="L80" s="50">
        <f>IF('Intel T265'!G80-'Experimental Procedure'!$D$98&lt;-180,'Intel T265'!G80-'Experimental Procedure'!$D$98 + 360,IF('Intel T265'!G80-'Experimental Procedure'!$D$98&gt;180,'Intel T265'!G80-'Experimental Procedure'!$D$98 - 360,'Intel T265'!G80-'Experimental Procedure'!$D$98))</f>
        <v>-0.27120000000002165</v>
      </c>
      <c r="M80" s="91"/>
      <c r="N80" s="53" t="str">
        <f>IF('Experimental Procedure'!$E$98=0,"NaN",J80/'Experimental Procedure'!$E$98*100)</f>
        <v>NaN</v>
      </c>
      <c r="O80" s="94"/>
      <c r="P80" s="53" t="str">
        <f>IF('Experimental Procedure'!$F$98=0,"NaN",L80/'Experimental Procedure'!$F$98*100)</f>
        <v>NaN</v>
      </c>
      <c r="Q80" s="111"/>
    </row>
    <row r="81" spans="4:17" x14ac:dyDescent="0.25">
      <c r="D81" s="72" t="s">
        <v>190</v>
      </c>
      <c r="E81" s="9" t="s">
        <v>134</v>
      </c>
      <c r="F81" s="17">
        <v>0.42575030000000003</v>
      </c>
      <c r="G81" s="48">
        <v>356.04660000000001</v>
      </c>
      <c r="H81" s="86">
        <f>SQRT((F78-F81)^2+(F79-F82)^2+(F80-F83)^2)</f>
        <v>3.7096503945395893</v>
      </c>
      <c r="I81" s="89">
        <v>4.820762710188335</v>
      </c>
      <c r="J81" s="17">
        <f>'Intel T265'!F81-'Experimental Procedure'!$C$99</f>
        <v>0.42575030000000003</v>
      </c>
      <c r="K81" s="86">
        <f t="shared" ref="K81" si="16">SQRT(J81^2+J82^2+J83^2)</f>
        <v>0.785034524759472</v>
      </c>
      <c r="L81" s="48">
        <f>IF('Intel T265'!G81-'Experimental Procedure'!$D$99&lt;-180,'Intel T265'!G81-'Experimental Procedure'!$D$99 + 360,IF('Intel T265'!G81-'Experimental Procedure'!$D$99&gt;180,'Intel T265'!G81-'Experimental Procedure'!$D$99 - 360,'Intel T265'!G81-'Experimental Procedure'!$D$99))</f>
        <v>-3.9533999999999878</v>
      </c>
      <c r="M81" s="89">
        <v>7.651365930327878</v>
      </c>
      <c r="N81" s="51" t="str">
        <f>IF('Experimental Procedure'!$E$99=0,"NaN",J81/'Experimental Procedure'!$E$99*100)</f>
        <v>NaN</v>
      </c>
      <c r="O81" s="92">
        <f>IF('Experimental Procedure'!$G$99=0,"NaN",'Intel T265'!K81/'Experimental Procedure'!$G$99*100)</f>
        <v>19.6258631189868</v>
      </c>
      <c r="P81" s="51" t="str">
        <f>IF('Experimental Procedure'!$F$99=0,"NaN",L81/'Experimental Procedure'!$F$99*100)</f>
        <v>NaN</v>
      </c>
      <c r="Q81" s="109" t="str">
        <f>IF('Experimental Procedure'!$H$99=0,"NaN",'Intel T265'!M81/'Experimental Procedure'!$H$99*100)</f>
        <v>NaN</v>
      </c>
    </row>
    <row r="82" spans="4:17" x14ac:dyDescent="0.25">
      <c r="D82" s="73"/>
      <c r="E82" s="9" t="s">
        <v>135</v>
      </c>
      <c r="F82" s="19">
        <v>1.3380000000000001</v>
      </c>
      <c r="G82" s="49">
        <v>6.5553610000000004</v>
      </c>
      <c r="H82" s="87"/>
      <c r="I82" s="90"/>
      <c r="J82" s="19">
        <f>'Intel T265'!F82-'Experimental Procedure'!$C$100</f>
        <v>-6.1999999999999833E-2</v>
      </c>
      <c r="K82" s="87"/>
      <c r="L82" s="49">
        <f>IF('Intel T265'!G82-'Experimental Procedure'!$D$100&lt;-180,'Intel T265'!G82-'Experimental Procedure'!$D$100 + 360,IF('Intel T265'!G82-'Experimental Procedure'!$D$100&gt;180,'Intel T265'!G82-'Experimental Procedure'!$D$100 - 360,'Intel T265'!G82-'Experimental Procedure'!$D$100))</f>
        <v>6.5553610000000004</v>
      </c>
      <c r="M82" s="90"/>
      <c r="N82" s="52" t="str">
        <f>IF('Experimental Procedure'!$E$100=0,"NaN",J82/'Experimental Procedure'!$E$100*100)</f>
        <v>NaN</v>
      </c>
      <c r="O82" s="93"/>
      <c r="P82" s="52" t="str">
        <f>IF('Experimental Procedure'!$F$100=0,"NaN",L82/'Experimental Procedure'!$F$100*100)</f>
        <v>NaN</v>
      </c>
      <c r="Q82" s="110"/>
    </row>
    <row r="83" spans="4:17" ht="15.75" thickBot="1" x14ac:dyDescent="0.3">
      <c r="D83" s="74"/>
      <c r="E83" s="10" t="s">
        <v>136</v>
      </c>
      <c r="F83" s="21">
        <v>0.65663680000000002</v>
      </c>
      <c r="G83" s="50">
        <v>359.87130000000002</v>
      </c>
      <c r="H83" s="88"/>
      <c r="I83" s="91"/>
      <c r="J83" s="21">
        <f>'Intel T265'!F83-'Experimental Procedure'!$C$101</f>
        <v>0.65663680000000002</v>
      </c>
      <c r="K83" s="88"/>
      <c r="L83" s="50">
        <f>IF('Intel T265'!G83-'Experimental Procedure'!$D$101&lt;-180,'Intel T265'!G83-'Experimental Procedure'!$D$101 + 360,IF('Intel T265'!G83-'Experimental Procedure'!$D$101&gt;180,'Intel T265'!G83-'Experimental Procedure'!$D$101 - 360,'Intel T265'!G83-'Experimental Procedure'!$D$101))</f>
        <v>-0.12869999999998072</v>
      </c>
      <c r="M83" s="91"/>
      <c r="N83" s="53">
        <f>IF('Experimental Procedure'!$E$101=0,"NaN",J83/'Experimental Procedure'!$E$101*100)</f>
        <v>16.41592</v>
      </c>
      <c r="O83" s="94"/>
      <c r="P83" s="53" t="str">
        <f>IF('Experimental Procedure'!$F$101=0,"NaN",L83/'Experimental Procedure'!$F$101*100)</f>
        <v>NaN</v>
      </c>
      <c r="Q83" s="111"/>
    </row>
    <row r="84" spans="4:17" x14ac:dyDescent="0.25">
      <c r="D84" s="72" t="s">
        <v>180</v>
      </c>
      <c r="E84" s="8" t="s">
        <v>134</v>
      </c>
      <c r="F84" s="17">
        <v>6.0242139999999997</v>
      </c>
      <c r="G84" s="48">
        <v>357.7054</v>
      </c>
      <c r="H84" s="86">
        <f>SQRT((F81-F84)^2+(F82-F85)^2+(F83-F86)^2)</f>
        <v>5.6373158368339915</v>
      </c>
      <c r="I84" s="89">
        <v>4.7753344180212487</v>
      </c>
      <c r="J84" s="17">
        <f>'Intel T265'!F84-'Experimental Procedure'!$C$102</f>
        <v>2.4213999999999736E-2</v>
      </c>
      <c r="K84" s="86">
        <f t="shared" ref="K84" si="17">SQRT(J84^2+J85^2+J86^2)</f>
        <v>3.2007071046879519E-2</v>
      </c>
      <c r="L84" s="48">
        <f>IF('Intel T265'!G84-'Experimental Procedure'!$D$102&lt;-180,'Intel T265'!G84-'Experimental Procedure'!$D$102 + 360,IF('Intel T265'!G84-'Experimental Procedure'!$D$102&gt;180,'Intel T265'!G84-'Experimental Procedure'!$D$102 - 360,'Intel T265'!G84-'Experimental Procedure'!$D$102))</f>
        <v>-2.2946000000000026</v>
      </c>
      <c r="M84" s="89">
        <v>3.1082358153015837</v>
      </c>
      <c r="N84" s="51">
        <f>IF('Experimental Procedure'!$E$102=0,"NaN",J84/'Experimental Procedure'!$E$102*100)</f>
        <v>0.40356666666666224</v>
      </c>
      <c r="O84" s="92">
        <f>IF('Experimental Procedure'!$G$102=0,"NaN",'Intel T265'!K84/'Experimental Procedure'!$G$102*100)</f>
        <v>0.53345118411465864</v>
      </c>
      <c r="P84" s="51" t="str">
        <f>IF('Experimental Procedure'!$F$102=0,"NaN",L84/'Experimental Procedure'!$F$102*100)</f>
        <v>NaN</v>
      </c>
      <c r="Q84" s="109" t="str">
        <f>IF('Experimental Procedure'!$H$102=0,"NaN",'Intel T265'!M84/'Experimental Procedure'!$H$102*100)</f>
        <v>NaN</v>
      </c>
    </row>
    <row r="85" spans="4:17" x14ac:dyDescent="0.25">
      <c r="D85" s="73"/>
      <c r="E85" s="9" t="s">
        <v>135</v>
      </c>
      <c r="F85" s="19">
        <v>1.4209000000000001</v>
      </c>
      <c r="G85" s="49">
        <v>2.0860940000000001</v>
      </c>
      <c r="H85" s="87"/>
      <c r="I85" s="90"/>
      <c r="J85" s="19">
        <f>'Intel T265'!F85-'Experimental Procedure'!$C$103</f>
        <v>2.0900000000000141E-2</v>
      </c>
      <c r="K85" s="87"/>
      <c r="L85" s="49">
        <f>IF('Intel T265'!G85-'Experimental Procedure'!$D$103&lt;-180,'Intel T265'!G85-'Experimental Procedure'!$D$103 + 360,IF('Intel T265'!G85-'Experimental Procedure'!$D$103&gt;180,'Intel T265'!G85-'Experimental Procedure'!$D$103 - 360,'Intel T265'!G85-'Experimental Procedure'!$D$103))</f>
        <v>2.0860940000000001</v>
      </c>
      <c r="M85" s="90"/>
      <c r="N85" s="52" t="str">
        <f>IF('Experimental Procedure'!$E$103=0,"NaN",J85/'Experimental Procedure'!$E$103*100)</f>
        <v>NaN</v>
      </c>
      <c r="O85" s="93"/>
      <c r="P85" s="52" t="str">
        <f>IF('Experimental Procedure'!$F$103=0,"NaN",L85/'Experimental Procedure'!$F$103*100)</f>
        <v>NaN</v>
      </c>
      <c r="Q85" s="110"/>
    </row>
    <row r="86" spans="4:17" ht="15.75" thickBot="1" x14ac:dyDescent="0.3">
      <c r="D86" s="74"/>
      <c r="E86" s="10" t="s">
        <v>136</v>
      </c>
      <c r="F86" s="21">
        <v>1.1509999999999999E-3</v>
      </c>
      <c r="G86" s="50">
        <v>359.74259999999998</v>
      </c>
      <c r="H86" s="88"/>
      <c r="I86" s="91"/>
      <c r="J86" s="21">
        <f>'Intel T265'!F86-'Experimental Procedure'!$C$104</f>
        <v>1.1509999999999999E-3</v>
      </c>
      <c r="K86" s="88"/>
      <c r="L86" s="50">
        <f>IF('Intel T265'!G86-'Experimental Procedure'!$D$104&lt;-180,'Intel T265'!G86-'Experimental Procedure'!$D$104 + 360,IF('Intel T265'!G86-'Experimental Procedure'!$D$104&gt;180,'Intel T265'!G86-'Experimental Procedure'!$D$104 - 360,'Intel T265'!G86-'Experimental Procedure'!$D$104))</f>
        <v>-0.25740000000001828</v>
      </c>
      <c r="M86" s="91"/>
      <c r="N86" s="53" t="str">
        <f>IF('Experimental Procedure'!$E$104=0,"NaN",J86/'Experimental Procedure'!$E$104*100)</f>
        <v>NaN</v>
      </c>
      <c r="O86" s="94"/>
      <c r="P86" s="53" t="str">
        <f>IF('Experimental Procedure'!$F$104=0,"NaN",L86/'Experimental Procedure'!$F$104*100)</f>
        <v>NaN</v>
      </c>
      <c r="Q86" s="111"/>
    </row>
    <row r="87" spans="4:17" ht="15.75" thickBot="1" x14ac:dyDescent="0.3">
      <c r="D87" s="15" t="s">
        <v>173</v>
      </c>
      <c r="E87" s="15"/>
      <c r="F87" s="15"/>
      <c r="I87" s="66"/>
    </row>
    <row r="88" spans="4:17" ht="15.75" thickBot="1" x14ac:dyDescent="0.3">
      <c r="D88" s="75" t="s">
        <v>163</v>
      </c>
      <c r="E88" s="76"/>
      <c r="F88" s="16" t="s">
        <v>137</v>
      </c>
      <c r="G88" s="23" t="s">
        <v>197</v>
      </c>
      <c r="H88" s="16" t="s">
        <v>178</v>
      </c>
      <c r="I88" s="65" t="s">
        <v>179</v>
      </c>
      <c r="J88" s="16" t="s">
        <v>143</v>
      </c>
      <c r="K88" s="34" t="s">
        <v>168</v>
      </c>
      <c r="L88" s="23" t="s">
        <v>144</v>
      </c>
      <c r="M88" s="12" t="s">
        <v>167</v>
      </c>
      <c r="N88" s="16" t="s">
        <v>141</v>
      </c>
      <c r="O88" s="16" t="s">
        <v>171</v>
      </c>
      <c r="P88" s="23" t="s">
        <v>142</v>
      </c>
      <c r="Q88" s="23" t="s">
        <v>172</v>
      </c>
    </row>
    <row r="89" spans="4:17" x14ac:dyDescent="0.25">
      <c r="D89" s="72" t="s">
        <v>180</v>
      </c>
      <c r="E89" s="35" t="s">
        <v>134</v>
      </c>
      <c r="F89" s="18">
        <f>AVERAGE(F38,F55,F72)</f>
        <v>6.0131253333333339</v>
      </c>
      <c r="G89" s="48">
        <f>AVERAGE(IF(G38&gt;180,G38-360,IF(G38&lt;-180,G38+360,G38)),IF(G55&gt;180,G55-360,IF(G55&lt;-180,G55+360,G55)),IF(G72&gt;180,G72-360,IF(G72&lt;-180,G72+360,G72)))</f>
        <v>0.59199999999999287</v>
      </c>
      <c r="H89" s="86">
        <v>0</v>
      </c>
      <c r="I89" s="89">
        <v>0</v>
      </c>
      <c r="J89" s="37">
        <f>'Intel T265'!F89-'Experimental Procedure'!$C$90</f>
        <v>1.3125333333333877E-2</v>
      </c>
      <c r="K89" s="95">
        <f>SQRT(J89^2+J90^2+J91^2)</f>
        <v>1.4136859842226023E-2</v>
      </c>
      <c r="L89" s="48">
        <f>IF('Intel T265'!G89-'Experimental Procedure'!$D$90&lt;-180,'Intel T265'!G89-'Experimental Procedure'!$D$90 + 360,IF('Intel T265'!G89-'Experimental Procedure'!$D$90&gt;180,'Intel T265'!G89-'Experimental Procedure'!$D$90 - 360,'Intel T265'!G89-'Experimental Procedure'!$D$90))</f>
        <v>0.59199999999999287</v>
      </c>
      <c r="M89" s="112">
        <f>(M38+M55+M72)/ 3</f>
        <v>4.5152059795627899</v>
      </c>
      <c r="N89" s="51" t="str">
        <f>IF('Experimental Procedure'!$E$90=0,"NaN",J89/'Experimental Procedure'!$E$90*100)</f>
        <v>NaN</v>
      </c>
      <c r="O89" s="92" t="str">
        <f>IF('Experimental Procedure'!$G$90=0,"NaN",'Intel T265'!K89/'Experimental Procedure'!$G$90*100)</f>
        <v>NaN</v>
      </c>
      <c r="P89" s="51" t="str">
        <f>IF('Experimental Procedure'!$F$90=0,"NaN",L89/'Experimental Procedure'!$F$90*100)</f>
        <v>NaN</v>
      </c>
      <c r="Q89" s="109" t="str">
        <f>IF('Experimental Procedure'!$H$90=0,"NaN",'Intel T265'!M89/'Experimental Procedure'!$H$90*100)</f>
        <v>NaN</v>
      </c>
    </row>
    <row r="90" spans="4:17" x14ac:dyDescent="0.25">
      <c r="D90" s="73"/>
      <c r="E90" s="35" t="s">
        <v>135</v>
      </c>
      <c r="F90" s="20">
        <f t="shared" ref="F90:F103" si="18">AVERAGE(F39,F56,F73)</f>
        <v>1.4029040000000002</v>
      </c>
      <c r="G90" s="49">
        <f t="shared" ref="G90:G103" si="19">AVERAGE(IF(G39&gt;180,G39-360,IF(G39&lt;-180,G39+360,G39)),IF(G56&gt;180,G56-360,IF(G56&lt;-180,G56+360,G56)),IF(G73&gt;180,G73-360,IF(G73&lt;-180,G73+360,G73)))</f>
        <v>3.3761033333333335</v>
      </c>
      <c r="H90" s="87"/>
      <c r="I90" s="90"/>
      <c r="J90" s="38">
        <f>'Intel T265'!F90-'Experimental Procedure'!$C$91</f>
        <v>2.9040000000002397E-3</v>
      </c>
      <c r="K90" s="96"/>
      <c r="L90" s="49">
        <f>IF('Intel T265'!G90-'Experimental Procedure'!$D$91&lt;-180,'Intel T265'!G90-'Experimental Procedure'!$D$91 + 360,IF('Intel T265'!G90-'Experimental Procedure'!$D$91&gt;180,'Intel T265'!G90-'Experimental Procedure'!$D$91 - 360,'Intel T265'!G90-'Experimental Procedure'!$D$91))</f>
        <v>3.3761033333333335</v>
      </c>
      <c r="M90" s="113"/>
      <c r="N90" s="52" t="str">
        <f>IF('Experimental Procedure'!$E$91=0,"NaN",J90/'Experimental Procedure'!$E$91*100)</f>
        <v>NaN</v>
      </c>
      <c r="O90" s="93"/>
      <c r="P90" s="52" t="str">
        <f>IF('Experimental Procedure'!$F$91=0,"NaN",L90/'Experimental Procedure'!$F$91*100)</f>
        <v>NaN</v>
      </c>
      <c r="Q90" s="110"/>
    </row>
    <row r="91" spans="4:17" ht="15.75" thickBot="1" x14ac:dyDescent="0.3">
      <c r="D91" s="74"/>
      <c r="E91" s="36" t="s">
        <v>136</v>
      </c>
      <c r="F91" s="22">
        <f t="shared" si="18"/>
        <v>-4.3752959999999999E-3</v>
      </c>
      <c r="G91" s="50">
        <f t="shared" si="19"/>
        <v>-1.2263999999999935</v>
      </c>
      <c r="H91" s="88"/>
      <c r="I91" s="91"/>
      <c r="J91" s="39">
        <f>'Intel T265'!F91-'Experimental Procedure'!$C$92</f>
        <v>-4.3752959999999999E-3</v>
      </c>
      <c r="K91" s="97"/>
      <c r="L91" s="50">
        <f>IF('Intel T265'!G91-'Experimental Procedure'!$D$92&lt;-180,'Intel T265'!G91-'Experimental Procedure'!$D$92 + 360,IF('Intel T265'!G91-'Experimental Procedure'!$D$92&gt;180,'Intel T265'!G91-'Experimental Procedure'!$D$92 - 360,'Intel T265'!G91-'Experimental Procedure'!$D$92))</f>
        <v>-1.2263999999999935</v>
      </c>
      <c r="M91" s="114"/>
      <c r="N91" s="53" t="str">
        <f>IF('Experimental Procedure'!$E$92=0,"NaN",J91/'Experimental Procedure'!$E$92*100)</f>
        <v>NaN</v>
      </c>
      <c r="O91" s="94"/>
      <c r="P91" s="53" t="str">
        <f>IF('Experimental Procedure'!$F$92=0,"NaN",L91/'Experimental Procedure'!$F$92*100)</f>
        <v>NaN</v>
      </c>
      <c r="Q91" s="111"/>
    </row>
    <row r="92" spans="4:17" x14ac:dyDescent="0.25">
      <c r="D92" s="72" t="s">
        <v>189</v>
      </c>
      <c r="E92" s="8" t="s">
        <v>134</v>
      </c>
      <c r="F92" s="17">
        <f t="shared" si="18"/>
        <v>6.4395699999999998</v>
      </c>
      <c r="G92" s="48">
        <f t="shared" si="19"/>
        <v>-0.61553333333331894</v>
      </c>
      <c r="H92" s="86">
        <f>SQRT((F89-F92)^2+(F90-F93)^2+(F91-F94)^2)</f>
        <v>3.6762042027345352</v>
      </c>
      <c r="I92" s="89"/>
      <c r="J92" s="17">
        <f>'Intel T265'!F92-'Experimental Procedure'!$C$93</f>
        <v>0.43956999999999979</v>
      </c>
      <c r="K92" s="86">
        <f t="shared" ref="K92" si="20">SQRT(J92^2+J93^2+J94^2)</f>
        <v>0.56629583684982554</v>
      </c>
      <c r="L92" s="48">
        <f>IF('Intel T265'!G92-'Experimental Procedure'!$D$93&lt;-180,'Intel T265'!G92-'Experimental Procedure'!$D$93 + 360,IF('Intel T265'!G92-'Experimental Procedure'!$D$93&gt;180,'Intel T265'!G92-'Experimental Procedure'!$D$93 - 360,'Intel T265'!G92-'Experimental Procedure'!$D$93))</f>
        <v>-0.61553333333331894</v>
      </c>
      <c r="M92" s="112">
        <f t="shared" ref="M92" si="21">(M41+M58+M75)/ 3</f>
        <v>5.3469259083323157</v>
      </c>
      <c r="N92" s="51" t="str">
        <f>IF('Experimental Procedure'!$E$93=0,"NaN",J92/'Experimental Procedure'!$E$93*100)</f>
        <v>NaN</v>
      </c>
      <c r="O92" s="92">
        <f>IF('Experimental Procedure'!$G$93=0,"NaN",'Intel T265'!K92/'Experimental Procedure'!$G$93*100)</f>
        <v>14.157395921245639</v>
      </c>
      <c r="P92" s="51" t="str">
        <f>IF('Experimental Procedure'!$F$93=0,"NaN",L92/'Experimental Procedure'!$F$93*100)</f>
        <v>NaN</v>
      </c>
      <c r="Q92" s="109" t="str">
        <f>IF('Experimental Procedure'!$H$93=0,"NaN",'Intel T265'!M92/'Experimental Procedure'!$H$93*100)</f>
        <v>NaN</v>
      </c>
    </row>
    <row r="93" spans="4:17" x14ac:dyDescent="0.25">
      <c r="D93" s="73"/>
      <c r="E93" s="9" t="s">
        <v>135</v>
      </c>
      <c r="F93" s="19">
        <f t="shared" si="18"/>
        <v>1.3491253333333333</v>
      </c>
      <c r="G93" s="49">
        <f t="shared" si="19"/>
        <v>4.0847516666666666</v>
      </c>
      <c r="H93" s="87"/>
      <c r="I93" s="90"/>
      <c r="J93" s="19">
        <f>'Intel T265'!F93-'Experimental Procedure'!$C$94</f>
        <v>-5.0874666666666624E-2</v>
      </c>
      <c r="K93" s="87"/>
      <c r="L93" s="49">
        <f>IF('Intel T265'!G93-'Experimental Procedure'!$D$94&lt;-180,'Intel T265'!G93-'Experimental Procedure'!$D$94 + 360,IF('Intel T265'!G93-'Experimental Procedure'!$D$94&gt;180,'Intel T265'!G93-'Experimental Procedure'!$D$94 - 360,'Intel T265'!G93-'Experimental Procedure'!$D$94))</f>
        <v>4.0847516666666666</v>
      </c>
      <c r="M93" s="113"/>
      <c r="N93" s="52" t="str">
        <f>IF('Experimental Procedure'!$E$94=0,"NaN",J93/'Experimental Procedure'!$E$94*100)</f>
        <v>NaN</v>
      </c>
      <c r="O93" s="93"/>
      <c r="P93" s="52" t="str">
        <f>IF('Experimental Procedure'!$F$94=0,"NaN",L93/'Experimental Procedure'!$F$94*100)</f>
        <v>NaN</v>
      </c>
      <c r="Q93" s="110"/>
    </row>
    <row r="94" spans="4:17" ht="15.75" thickBot="1" x14ac:dyDescent="0.3">
      <c r="D94" s="74"/>
      <c r="E94" s="10" t="s">
        <v>136</v>
      </c>
      <c r="F94" s="21">
        <f t="shared" si="18"/>
        <v>3.6466150000000002</v>
      </c>
      <c r="G94" s="50">
        <f t="shared" si="19"/>
        <v>-1.5123433333333411</v>
      </c>
      <c r="H94" s="88"/>
      <c r="I94" s="91"/>
      <c r="J94" s="21">
        <f>'Intel T265'!F94-'Experimental Procedure'!$C$95</f>
        <v>-0.35338499999999984</v>
      </c>
      <c r="K94" s="88"/>
      <c r="L94" s="50">
        <f>IF('Intel T265'!G94-'Experimental Procedure'!$D$95&lt;-180,'Intel T265'!G94-'Experimental Procedure'!$D$95 + 360,IF('Intel T265'!G94-'Experimental Procedure'!$D$95&gt;180,'Intel T265'!G94-'Experimental Procedure'!$D$95 - 360,'Intel T265'!G94-'Experimental Procedure'!$D$95))</f>
        <v>-1.5123433333333411</v>
      </c>
      <c r="M94" s="114"/>
      <c r="N94" s="53">
        <f>IF('Experimental Procedure'!$E$95=0,"NaN",J94/'Experimental Procedure'!$E$95*100)</f>
        <v>-8.8346249999999955</v>
      </c>
      <c r="O94" s="94"/>
      <c r="P94" s="53" t="str">
        <f>IF('Experimental Procedure'!$F$95=0,"NaN",L94/'Experimental Procedure'!$F$95*100)</f>
        <v>NaN</v>
      </c>
      <c r="Q94" s="111"/>
    </row>
    <row r="95" spans="4:17" x14ac:dyDescent="0.25">
      <c r="D95" s="72" t="s">
        <v>188</v>
      </c>
      <c r="E95" s="8" t="s">
        <v>134</v>
      </c>
      <c r="F95" s="17">
        <f t="shared" si="18"/>
        <v>0.83778886666666663</v>
      </c>
      <c r="G95" s="48">
        <f t="shared" si="19"/>
        <v>-1.2307333333333379</v>
      </c>
      <c r="H95" s="86">
        <f>SQRT((F92-F95)^2+(F93-F96)^2+(F94-F97)^2)</f>
        <v>5.6389303654044616</v>
      </c>
      <c r="I95" s="89"/>
      <c r="J95" s="17">
        <f>'Intel T265'!F95-'Experimental Procedure'!$C$96</f>
        <v>0.83778886666666663</v>
      </c>
      <c r="K95" s="86">
        <f t="shared" ref="K95" si="22">SQRT(J95^2+J96^2+J97^2)</f>
        <v>0.88846897568542404</v>
      </c>
      <c r="L95" s="48">
        <f>IF('Intel T265'!G95-'Experimental Procedure'!$D$96&lt;-180,'Intel T265'!G95-'Experimental Procedure'!$D$96 + 360,IF('Intel T265'!G95-'Experimental Procedure'!$D$96&gt;180,'Intel T265'!G95-'Experimental Procedure'!$D$96 - 360,'Intel T265'!G95-'Experimental Procedure'!$D$96))</f>
        <v>-1.2307333333333379</v>
      </c>
      <c r="M95" s="112">
        <f t="shared" ref="M95" si="23">(M44+M61+M78)/ 3</f>
        <v>4.1776271728166607</v>
      </c>
      <c r="N95" s="51">
        <f>IF('Experimental Procedure'!$E$96=0,"NaN",J95/'Experimental Procedure'!$E$96*100)</f>
        <v>13.963147777777776</v>
      </c>
      <c r="O95" s="92">
        <f>IF('Experimental Procedure'!$G$96=0,"NaN",'Intel T265'!K95/'Experimental Procedure'!$G$96*100)</f>
        <v>14.807816261423735</v>
      </c>
      <c r="P95" s="51" t="str">
        <f>IF('Experimental Procedure'!$F$96=0,"NaN",L95/'Experimental Procedure'!$F$96*100)</f>
        <v>NaN</v>
      </c>
      <c r="Q95" s="109" t="str">
        <f>IF('Experimental Procedure'!$H$96=0,"NaN",'Intel T265'!M95/'Experimental Procedure'!$H$96*100)</f>
        <v>NaN</v>
      </c>
    </row>
    <row r="96" spans="4:17" x14ac:dyDescent="0.25">
      <c r="D96" s="73"/>
      <c r="E96" s="9" t="s">
        <v>135</v>
      </c>
      <c r="F96" s="19">
        <f t="shared" si="18"/>
        <v>1.3578506666666668</v>
      </c>
      <c r="G96" s="49">
        <f t="shared" si="19"/>
        <v>3.9210376666666669</v>
      </c>
      <c r="H96" s="87"/>
      <c r="I96" s="90"/>
      <c r="J96" s="19">
        <f>'Intel T265'!F96-'Experimental Procedure'!$C$97</f>
        <v>-4.214933333333315E-2</v>
      </c>
      <c r="K96" s="87"/>
      <c r="L96" s="49">
        <f>IF('Intel T265'!G96-'Experimental Procedure'!$D$97&lt;-180,'Intel T265'!G96-'Experimental Procedure'!$D$97 + 360,IF('Intel T265'!G96-'Experimental Procedure'!$D$97&gt;180,'Intel T265'!G96-'Experimental Procedure'!$D$97 - 360,'Intel T265'!G96-'Experimental Procedure'!$D$97))</f>
        <v>3.9210376666666669</v>
      </c>
      <c r="M96" s="113"/>
      <c r="N96" s="52" t="str">
        <f>IF('Experimental Procedure'!$E$97=0,"NaN",J96/'Experimental Procedure'!$E$97*100)</f>
        <v>NaN</v>
      </c>
      <c r="O96" s="93"/>
      <c r="P96" s="52" t="str">
        <f>IF('Experimental Procedure'!$F$97=0,"NaN",L96/'Experimental Procedure'!$F$97*100)</f>
        <v>NaN</v>
      </c>
      <c r="Q96" s="110"/>
    </row>
    <row r="97" spans="4:17" ht="15.75" thickBot="1" x14ac:dyDescent="0.3">
      <c r="D97" s="74"/>
      <c r="E97" s="10" t="s">
        <v>136</v>
      </c>
      <c r="F97" s="21">
        <f t="shared" si="18"/>
        <v>4.2927633333333333</v>
      </c>
      <c r="G97" s="50">
        <f t="shared" si="19"/>
        <v>0.30954199999999282</v>
      </c>
      <c r="H97" s="88"/>
      <c r="I97" s="91"/>
      <c r="J97" s="21">
        <f>'Intel T265'!F97-'Experimental Procedure'!$C$98</f>
        <v>0.29276333333333326</v>
      </c>
      <c r="K97" s="88"/>
      <c r="L97" s="50">
        <f>IF('Intel T265'!G97-'Experimental Procedure'!$D$98&lt;-180,'Intel T265'!G97-'Experimental Procedure'!$D$98 + 360,IF('Intel T265'!G97-'Experimental Procedure'!$D$98&gt;180,'Intel T265'!G97-'Experimental Procedure'!$D$98 - 360,'Intel T265'!G97-'Experimental Procedure'!$D$98))</f>
        <v>0.30954199999999282</v>
      </c>
      <c r="M97" s="114"/>
      <c r="N97" s="53" t="str">
        <f>IF('Experimental Procedure'!$E$98=0,"NaN",J97/'Experimental Procedure'!$E$98*100)</f>
        <v>NaN</v>
      </c>
      <c r="O97" s="94"/>
      <c r="P97" s="53" t="str">
        <f>IF('Experimental Procedure'!$F$98=0,"NaN",L97/'Experimental Procedure'!$F$98*100)</f>
        <v>NaN</v>
      </c>
      <c r="Q97" s="111"/>
    </row>
    <row r="98" spans="4:17" x14ac:dyDescent="0.25">
      <c r="D98" s="72" t="s">
        <v>190</v>
      </c>
      <c r="E98" s="9" t="s">
        <v>134</v>
      </c>
      <c r="F98" s="17">
        <f t="shared" si="18"/>
        <v>0.35817549999999998</v>
      </c>
      <c r="G98" s="48">
        <f t="shared" si="19"/>
        <v>-2.5368000000000088</v>
      </c>
      <c r="H98" s="86">
        <f>SQRT((F95-F98)^2+(F96-F99)^2+(F97-F100)^2)</f>
        <v>3.6797287591483108</v>
      </c>
      <c r="I98" s="89"/>
      <c r="J98" s="17">
        <f>'Intel T265'!F98-'Experimental Procedure'!$C$99</f>
        <v>0.35817549999999998</v>
      </c>
      <c r="K98" s="86">
        <f t="shared" ref="K98" si="24">SQRT(J98^2+J99^2+J100^2)</f>
        <v>0.74875015330948091</v>
      </c>
      <c r="L98" s="48">
        <f>IF('Intel T265'!G98-'Experimental Procedure'!$D$99&lt;-180,'Intel T265'!G98-'Experimental Procedure'!$D$99 + 360,IF('Intel T265'!G98-'Experimental Procedure'!$D$99&gt;180,'Intel T265'!G98-'Experimental Procedure'!$D$99 - 360,'Intel T265'!G98-'Experimental Procedure'!$D$99))</f>
        <v>-2.5368000000000088</v>
      </c>
      <c r="M98" s="112">
        <f t="shared" ref="M98" si="25">(M47+M64+M81)/ 3</f>
        <v>6.6019277464729518</v>
      </c>
      <c r="N98" s="51" t="str">
        <f>IF('Experimental Procedure'!$E$99=0,"NaN",J98/'Experimental Procedure'!$E$99*100)</f>
        <v>NaN</v>
      </c>
      <c r="O98" s="92">
        <f>IF('Experimental Procedure'!$G$99=0,"NaN",'Intel T265'!K98/'Experimental Procedure'!$G$99*100)</f>
        <v>18.718753832737022</v>
      </c>
      <c r="P98" s="51" t="str">
        <f>IF('Experimental Procedure'!$F$99=0,"NaN",L98/'Experimental Procedure'!$F$99*100)</f>
        <v>NaN</v>
      </c>
      <c r="Q98" s="109" t="str">
        <f>IF('Experimental Procedure'!$H$99=0,"NaN",'Intel T265'!M98/'Experimental Procedure'!$H$99*100)</f>
        <v>NaN</v>
      </c>
    </row>
    <row r="99" spans="4:17" x14ac:dyDescent="0.25">
      <c r="D99" s="73"/>
      <c r="E99" s="9" t="s">
        <v>135</v>
      </c>
      <c r="F99" s="19">
        <f t="shared" si="18"/>
        <v>1.2742313333333335</v>
      </c>
      <c r="G99" s="49">
        <f t="shared" si="19"/>
        <v>6.0157023333333335</v>
      </c>
      <c r="H99" s="87"/>
      <c r="I99" s="90"/>
      <c r="J99" s="19">
        <f>'Intel T265'!F99-'Experimental Procedure'!$C$100</f>
        <v>-0.12576866666666642</v>
      </c>
      <c r="K99" s="87"/>
      <c r="L99" s="49">
        <f>IF('Intel T265'!G99-'Experimental Procedure'!$D$100&lt;-180,'Intel T265'!G99-'Experimental Procedure'!$D$100 + 360,IF('Intel T265'!G99-'Experimental Procedure'!$D$100&gt;180,'Intel T265'!G99-'Experimental Procedure'!$D$100 - 360,'Intel T265'!G99-'Experimental Procedure'!$D$100))</f>
        <v>6.0157023333333335</v>
      </c>
      <c r="M99" s="113"/>
      <c r="N99" s="52" t="str">
        <f>IF('Experimental Procedure'!$E$100=0,"NaN",J99/'Experimental Procedure'!$E$100*100)</f>
        <v>NaN</v>
      </c>
      <c r="O99" s="93"/>
      <c r="P99" s="52" t="str">
        <f>IF('Experimental Procedure'!$F$100=0,"NaN",L99/'Experimental Procedure'!$F$100*100)</f>
        <v>NaN</v>
      </c>
      <c r="Q99" s="110"/>
    </row>
    <row r="100" spans="4:17" ht="15.75" thickBot="1" x14ac:dyDescent="0.3">
      <c r="D100" s="74"/>
      <c r="E100" s="10" t="s">
        <v>136</v>
      </c>
      <c r="F100" s="21">
        <f t="shared" si="18"/>
        <v>0.64538309999999999</v>
      </c>
      <c r="G100" s="50">
        <f t="shared" si="19"/>
        <v>0.40615033333333977</v>
      </c>
      <c r="H100" s="88"/>
      <c r="I100" s="91"/>
      <c r="J100" s="21">
        <f>'Intel T265'!F100-'Experimental Procedure'!$C$101</f>
        <v>0.64538309999999999</v>
      </c>
      <c r="K100" s="88"/>
      <c r="L100" s="50">
        <f>IF('Intel T265'!G100-'Experimental Procedure'!$D$101&lt;-180,'Intel T265'!G100-'Experimental Procedure'!$D$101 + 360,IF('Intel T265'!G100-'Experimental Procedure'!$D$101&gt;180,'Intel T265'!G100-'Experimental Procedure'!$D$101 - 360,'Intel T265'!G100-'Experimental Procedure'!$D$101))</f>
        <v>0.40615033333333977</v>
      </c>
      <c r="M100" s="114"/>
      <c r="N100" s="53">
        <f>IF('Experimental Procedure'!$E$101=0,"NaN",J100/'Experimental Procedure'!$E$101*100)</f>
        <v>16.134577499999999</v>
      </c>
      <c r="O100" s="94"/>
      <c r="P100" s="53" t="str">
        <f>IF('Experimental Procedure'!$F$101=0,"NaN",L100/'Experimental Procedure'!$F$101*100)</f>
        <v>NaN</v>
      </c>
      <c r="Q100" s="111"/>
    </row>
    <row r="101" spans="4:17" x14ac:dyDescent="0.25">
      <c r="D101" s="72" t="s">
        <v>180</v>
      </c>
      <c r="E101" s="8" t="s">
        <v>134</v>
      </c>
      <c r="F101" s="17">
        <f t="shared" si="18"/>
        <v>5.9908853333333338</v>
      </c>
      <c r="G101" s="48">
        <f t="shared" si="19"/>
        <v>1.9834133333333324</v>
      </c>
      <c r="H101" s="86">
        <f>SQRT((F98-F101)^2+(F99-F102)^2+(F100-F103)^2)</f>
        <v>5.6692755235184418</v>
      </c>
      <c r="I101" s="89"/>
      <c r="J101" s="17">
        <f>'Intel T265'!F101-'Experimental Procedure'!$C$102</f>
        <v>-9.1146666666661602E-3</v>
      </c>
      <c r="K101" s="86">
        <f t="shared" ref="K101" si="26">SQRT(J101^2+J102^2+J103^2)</f>
        <v>2.1845253016649351E-2</v>
      </c>
      <c r="L101" s="48">
        <f>IF('Intel T265'!G101-'Experimental Procedure'!$D$102&lt;-180,'Intel T265'!G101-'Experimental Procedure'!$D$102 + 360,IF('Intel T265'!G101-'Experimental Procedure'!$D$102&gt;180,'Intel T265'!G101-'Experimental Procedure'!$D$102 - 360,'Intel T265'!G101-'Experimental Procedure'!$D$102))</f>
        <v>1.9834133333333324</v>
      </c>
      <c r="M101" s="112">
        <f t="shared" ref="M101" si="27">(M50+M67+M84)/ 3</f>
        <v>4.8777287330406134</v>
      </c>
      <c r="N101" s="51">
        <f>IF('Experimental Procedure'!$E$102=0,"NaN",J101/'Experimental Procedure'!$E$102*100)</f>
        <v>-0.15191111111110267</v>
      </c>
      <c r="O101" s="92">
        <f>IF('Experimental Procedure'!$G$102=0,"NaN",'Intel T265'!K101/'Experimental Procedure'!$G$102*100)</f>
        <v>0.36408755027748918</v>
      </c>
      <c r="P101" s="51" t="str">
        <f>IF('Experimental Procedure'!$F$102=0,"NaN",L101/'Experimental Procedure'!$F$102*100)</f>
        <v>NaN</v>
      </c>
      <c r="Q101" s="109" t="str">
        <f>IF('Experimental Procedure'!$H$102=0,"NaN",'Intel T265'!M101/'Experimental Procedure'!$H$102*100)</f>
        <v>NaN</v>
      </c>
    </row>
    <row r="102" spans="4:17" x14ac:dyDescent="0.25">
      <c r="D102" s="73"/>
      <c r="E102" s="9" t="s">
        <v>135</v>
      </c>
      <c r="F102" s="19">
        <f t="shared" si="18"/>
        <v>1.4101536666666667</v>
      </c>
      <c r="G102" s="49">
        <f t="shared" si="19"/>
        <v>3.2277740000000001</v>
      </c>
      <c r="H102" s="87"/>
      <c r="I102" s="90"/>
      <c r="J102" s="19">
        <f>'Intel T265'!F102-'Experimental Procedure'!$C$103</f>
        <v>1.0153666666666838E-2</v>
      </c>
      <c r="K102" s="87"/>
      <c r="L102" s="49">
        <f>IF('Intel T265'!G102-'Experimental Procedure'!$D$103&lt;-180,'Intel T265'!G102-'Experimental Procedure'!$D$103 + 360,IF('Intel T265'!G102-'Experimental Procedure'!$D$103&gt;180,'Intel T265'!G102-'Experimental Procedure'!$D$103 - 360,'Intel T265'!G102-'Experimental Procedure'!$D$103))</f>
        <v>3.2277740000000001</v>
      </c>
      <c r="M102" s="113"/>
      <c r="N102" s="52" t="str">
        <f>IF('Experimental Procedure'!$E$103=0,"NaN",J102/'Experimental Procedure'!$E$103*100)</f>
        <v>NaN</v>
      </c>
      <c r="O102" s="93"/>
      <c r="P102" s="52" t="str">
        <f>IF('Experimental Procedure'!$F$103=0,"NaN",L102/'Experimental Procedure'!$F$103*100)</f>
        <v>NaN</v>
      </c>
      <c r="Q102" s="110"/>
    </row>
    <row r="103" spans="4:17" ht="15.75" thickBot="1" x14ac:dyDescent="0.3">
      <c r="D103" s="74"/>
      <c r="E103" s="10" t="s">
        <v>136</v>
      </c>
      <c r="F103" s="21">
        <f t="shared" si="18"/>
        <v>1.7059923333333331E-2</v>
      </c>
      <c r="G103" s="50">
        <f t="shared" si="19"/>
        <v>0.90195266666666063</v>
      </c>
      <c r="H103" s="88"/>
      <c r="I103" s="91"/>
      <c r="J103" s="21">
        <f>'Intel T265'!F103-'Experimental Procedure'!$C$104</f>
        <v>1.7059923333333331E-2</v>
      </c>
      <c r="K103" s="88"/>
      <c r="L103" s="50">
        <f>IF('Intel T265'!G103-'Experimental Procedure'!$D$104&lt;-180,'Intel T265'!G103-'Experimental Procedure'!$D$104 + 360,IF('Intel T265'!G103-'Experimental Procedure'!$D$104&gt;180,'Intel T265'!G103-'Experimental Procedure'!$D$104 - 360,'Intel T265'!G103-'Experimental Procedure'!$D$104))</f>
        <v>0.90195266666666063</v>
      </c>
      <c r="M103" s="114"/>
      <c r="N103" s="53" t="str">
        <f>IF('Experimental Procedure'!$E$104=0,"NaN",J103/'Experimental Procedure'!$E$104*100)</f>
        <v>NaN</v>
      </c>
      <c r="O103" s="94"/>
      <c r="P103" s="53" t="str">
        <f>IF('Experimental Procedure'!$F$104=0,"NaN",L103/'Experimental Procedure'!$F$104*100)</f>
        <v>NaN</v>
      </c>
      <c r="Q103" s="111"/>
    </row>
    <row r="104" spans="4:17" x14ac:dyDescent="0.25">
      <c r="D104" s="28" t="s">
        <v>174</v>
      </c>
      <c r="E104" s="28"/>
      <c r="F104" s="28"/>
      <c r="I104" s="66"/>
    </row>
    <row r="105" spans="4:17" ht="15.75" thickBot="1" x14ac:dyDescent="0.3">
      <c r="D105" s="29" t="s">
        <v>133</v>
      </c>
      <c r="E105" s="29"/>
      <c r="F105" s="29"/>
      <c r="I105" s="66"/>
    </row>
    <row r="106" spans="4:17" ht="15.75" thickBot="1" x14ac:dyDescent="0.3">
      <c r="D106" s="75" t="s">
        <v>177</v>
      </c>
      <c r="E106" s="76"/>
      <c r="F106" s="16" t="s">
        <v>137</v>
      </c>
      <c r="G106" s="23" t="s">
        <v>197</v>
      </c>
      <c r="H106" s="16" t="s">
        <v>178</v>
      </c>
      <c r="I106" s="65" t="s">
        <v>179</v>
      </c>
      <c r="J106" s="16" t="s">
        <v>143</v>
      </c>
      <c r="K106" s="34" t="s">
        <v>168</v>
      </c>
      <c r="L106" s="23" t="s">
        <v>144</v>
      </c>
      <c r="M106" s="12" t="s">
        <v>167</v>
      </c>
      <c r="N106" s="16" t="s">
        <v>141</v>
      </c>
      <c r="O106" s="16" t="s">
        <v>171</v>
      </c>
      <c r="P106" s="23" t="s">
        <v>142</v>
      </c>
      <c r="Q106" s="23" t="s">
        <v>172</v>
      </c>
    </row>
    <row r="107" spans="4:17" x14ac:dyDescent="0.25">
      <c r="D107" s="72" t="s">
        <v>180</v>
      </c>
      <c r="E107" s="35" t="s">
        <v>134</v>
      </c>
      <c r="F107" s="18">
        <v>5.9988700000000001</v>
      </c>
      <c r="G107" s="45">
        <v>10.41554</v>
      </c>
      <c r="H107" s="86">
        <v>0</v>
      </c>
      <c r="I107" s="89">
        <v>0</v>
      </c>
      <c r="J107" s="17">
        <f>'Intel T265'!F107-'Experimental Procedure'!$C$107</f>
        <v>-1.1299999999998533E-3</v>
      </c>
      <c r="K107" s="95">
        <f>SQRT(J107^2+J108^2+J109^2)</f>
        <v>6.2672862548315156E-3</v>
      </c>
      <c r="L107" s="48">
        <f>IF('Intel T265'!G107-'Experimental Procedure'!$D$107&lt;-180,'Intel T265'!G107-'Experimental Procedure'!$D$107 + 360,IF('Intel T265'!G107-'Experimental Procedure'!$D$107&gt;180,'Intel T265'!G107-'Experimental Procedure'!$D$107 - 360,'Intel T265'!G107-'Experimental Procedure'!$D$107))</f>
        <v>10.41554</v>
      </c>
      <c r="M107" s="106">
        <v>10.47445178535231</v>
      </c>
      <c r="N107" s="51" t="str">
        <f>IF('Experimental Procedure'!$E$107=0,"NaN",J107/'Experimental Procedure'!$E$107*100)</f>
        <v>NaN</v>
      </c>
      <c r="O107" s="92" t="str">
        <f>IF('Experimental Procedure'!$G$107=0,"NaN",'Intel T265'!K107/'Experimental Procedure'!$G$107*100)</f>
        <v>NaN</v>
      </c>
      <c r="P107" s="51" t="str">
        <f>IF('Experimental Procedure'!$F$107=0,"NaN",L107/'Experimental Procedure'!$F$107*100)</f>
        <v>NaN</v>
      </c>
      <c r="Q107" s="109" t="str">
        <f>IF('Experimental Procedure'!$H$107=0,"NaN",'Intel T265'!M107/'Experimental Procedure'!$H$107*100)</f>
        <v>NaN</v>
      </c>
    </row>
    <row r="108" spans="4:17" x14ac:dyDescent="0.25">
      <c r="D108" s="73"/>
      <c r="E108" s="35" t="s">
        <v>135</v>
      </c>
      <c r="F108" s="20">
        <v>1.4051709999999999</v>
      </c>
      <c r="G108" s="46">
        <v>0.43009999999999998</v>
      </c>
      <c r="H108" s="87"/>
      <c r="I108" s="90"/>
      <c r="J108" s="19">
        <f>'Intel T265'!F108-'Experimental Procedure'!$C$108</f>
        <v>5.1710000000000367E-3</v>
      </c>
      <c r="K108" s="96"/>
      <c r="L108" s="49">
        <f>IF('Intel T265'!G108-'Experimental Procedure'!$D$108&lt;-180,'Intel T265'!G108-'Experimental Procedure'!$D$108 + 360,IF('Intel T265'!G108-'Experimental Procedure'!$D$108&gt;180,'Intel T265'!G108-'Experimental Procedure'!$D$108 - 360,'Intel T265'!G108-'Experimental Procedure'!$D$108))</f>
        <v>0.43009999999999998</v>
      </c>
      <c r="M108" s="107"/>
      <c r="N108" s="52" t="str">
        <f>IF('Experimental Procedure'!$E$108=0,"NaN",J108/'Experimental Procedure'!$E$108*100)</f>
        <v>NaN</v>
      </c>
      <c r="O108" s="93"/>
      <c r="P108" s="52" t="str">
        <f>IF('Experimental Procedure'!$F$108=0,"NaN",L108/'Experimental Procedure'!$F$108*100)</f>
        <v>NaN</v>
      </c>
      <c r="Q108" s="110"/>
    </row>
    <row r="109" spans="4:17" ht="15.75" thickBot="1" x14ac:dyDescent="0.3">
      <c r="D109" s="74"/>
      <c r="E109" s="36" t="s">
        <v>136</v>
      </c>
      <c r="F109" s="22">
        <v>3.356E-3</v>
      </c>
      <c r="G109" s="47">
        <v>1.0642</v>
      </c>
      <c r="H109" s="88"/>
      <c r="I109" s="91"/>
      <c r="J109" s="21">
        <f>'Intel T265'!F109-'Experimental Procedure'!$C$109</f>
        <v>3.356E-3</v>
      </c>
      <c r="K109" s="97"/>
      <c r="L109" s="50">
        <f>IF('Intel T265'!G109-'Experimental Procedure'!$D$109&lt;-180,'Intel T265'!G109-'Experimental Procedure'!$D$109 + 360,IF('Intel T265'!G109-'Experimental Procedure'!$D$109&gt;180,'Intel T265'!G109-'Experimental Procedure'!$D$109 - 360,'Intel T265'!G109-'Experimental Procedure'!$D$109))</f>
        <v>1.0642</v>
      </c>
      <c r="M109" s="108"/>
      <c r="N109" s="53" t="str">
        <f>IF('Experimental Procedure'!$E$109=0,"NaN",J109/'Experimental Procedure'!$E$109*100)</f>
        <v>NaN</v>
      </c>
      <c r="O109" s="94"/>
      <c r="P109" s="53" t="str">
        <f>IF('Experimental Procedure'!$F$109=0,"NaN",L109/'Experimental Procedure'!$F$109*100)</f>
        <v>NaN</v>
      </c>
      <c r="Q109" s="111"/>
    </row>
    <row r="110" spans="4:17" x14ac:dyDescent="0.25">
      <c r="D110" s="72" t="s">
        <v>189</v>
      </c>
      <c r="E110" s="8" t="s">
        <v>134</v>
      </c>
      <c r="F110" s="17">
        <v>6.0795349999999999</v>
      </c>
      <c r="G110" s="48">
        <v>356.68990000000002</v>
      </c>
      <c r="H110" s="86">
        <f>SQRT((F107-F110)^2+(F108-F111)^2+(F109-F112)^2)</f>
        <v>3.5372436476119367</v>
      </c>
      <c r="I110" s="89">
        <v>14.16222249381935</v>
      </c>
      <c r="J110" s="17">
        <f>'Intel T265'!F110-'Experimental Procedure'!$C$110</f>
        <v>7.9534999999999911E-2</v>
      </c>
      <c r="K110" s="86">
        <f t="shared" ref="K110" si="28">SQRT(J110^2+J111^2+J112^2)</f>
        <v>0.4676233643072169</v>
      </c>
      <c r="L110" s="48">
        <f>IF('Intel T265'!G110-'Experimental Procedure'!$D$110&lt;-180,'Intel T265'!G110-'Experimental Procedure'!$D$110 + 360,IF('Intel T265'!G110-'Experimental Procedure'!$D$110&gt;180,'Intel T265'!G110-'Experimental Procedure'!$D$110 - 360,'Intel T265'!G110-'Experimental Procedure'!$D$110))</f>
        <v>-3.3100999999999772</v>
      </c>
      <c r="M110" s="89">
        <v>5.7336961281443282</v>
      </c>
      <c r="N110" s="51" t="str">
        <f>IF('Experimental Procedure'!$E$110=0,"NaN",J110/'Experimental Procedure'!$E$110*100)</f>
        <v>NaN</v>
      </c>
      <c r="O110" s="92">
        <f>IF('Experimental Procedure'!$G$110=0,"NaN",'Intel T265'!K110/'Experimental Procedure'!$G$110*100)</f>
        <v>11.690584107680422</v>
      </c>
      <c r="P110" s="51" t="str">
        <f>IF('Experimental Procedure'!$F$110=0,"NaN",L110/'Experimental Procedure'!$F$110*100)</f>
        <v>NaN</v>
      </c>
      <c r="Q110" s="109" t="str">
        <f>IF('Experimental Procedure'!$H$110=0,"NaN",'Intel T265'!M110/'Experimental Procedure'!$H$110*100)</f>
        <v>NaN</v>
      </c>
    </row>
    <row r="111" spans="4:17" x14ac:dyDescent="0.25">
      <c r="D111" s="73"/>
      <c r="E111" s="9" t="s">
        <v>135</v>
      </c>
      <c r="F111" s="19">
        <v>1.3806860000000001</v>
      </c>
      <c r="G111" s="49">
        <v>3.3612630000000001</v>
      </c>
      <c r="H111" s="87"/>
      <c r="I111" s="90"/>
      <c r="J111" s="19">
        <f>'Intel T265'!F111-'Experimental Procedure'!$C$111</f>
        <v>-1.9313999999999831E-2</v>
      </c>
      <c r="K111" s="87"/>
      <c r="L111" s="49">
        <f>IF('Intel T265'!G111-'Experimental Procedure'!$D$111&lt;-180,'Intel T265'!G111-'Experimental Procedure'!$D$111 + 360,IF('Intel T265'!G111-'Experimental Procedure'!$D$111&gt;180,'Intel T265'!G111-'Experimental Procedure'!$D$111 - 360,'Intel T265'!G111-'Experimental Procedure'!$D$111))</f>
        <v>3.3612630000000001</v>
      </c>
      <c r="M111" s="90"/>
      <c r="N111" s="52" t="str">
        <f>IF('Experimental Procedure'!$E$111=0,"NaN",J111/'Experimental Procedure'!$E$111*100)</f>
        <v>NaN</v>
      </c>
      <c r="O111" s="93"/>
      <c r="P111" s="52" t="str">
        <f>IF('Experimental Procedure'!$F$111=0,"NaN",L111/'Experimental Procedure'!$F$111*100)</f>
        <v>NaN</v>
      </c>
      <c r="Q111" s="110"/>
    </row>
    <row r="112" spans="4:17" ht="15.75" thickBot="1" x14ac:dyDescent="0.3">
      <c r="D112" s="74"/>
      <c r="E112" s="10" t="s">
        <v>136</v>
      </c>
      <c r="F112" s="21">
        <v>3.5395949999999998</v>
      </c>
      <c r="G112" s="50">
        <v>3.1646000000000001</v>
      </c>
      <c r="H112" s="88"/>
      <c r="I112" s="91"/>
      <c r="J112" s="21">
        <f>'Intel T265'!F112-'Experimental Procedure'!$C$112</f>
        <v>-0.46040500000000018</v>
      </c>
      <c r="K112" s="88"/>
      <c r="L112" s="50">
        <f>IF('Intel T265'!G112-'Experimental Procedure'!$D$112&lt;-180,'Intel T265'!G112-'Experimental Procedure'!$D$112 + 360,IF('Intel T265'!G112-'Experimental Procedure'!$D$112&gt;180,'Intel T265'!G112-'Experimental Procedure'!$D$112 - 360,'Intel T265'!G112-'Experimental Procedure'!$D$112))</f>
        <v>3.1646000000000001</v>
      </c>
      <c r="M112" s="91"/>
      <c r="N112" s="53">
        <f>IF('Experimental Procedure'!$E$112=0,"NaN",J112/'Experimental Procedure'!$E$112*100)</f>
        <v>-11.510125000000004</v>
      </c>
      <c r="O112" s="94"/>
      <c r="P112" s="53" t="str">
        <f>IF('Experimental Procedure'!$F$112=0,"NaN",L112/'Experimental Procedure'!$F$112*100)</f>
        <v>NaN</v>
      </c>
      <c r="Q112" s="111"/>
    </row>
    <row r="113" spans="4:18" x14ac:dyDescent="0.25">
      <c r="D113" s="72" t="s">
        <v>191</v>
      </c>
      <c r="E113" s="8" t="s">
        <v>134</v>
      </c>
      <c r="F113" s="17">
        <v>6.0625309999999999</v>
      </c>
      <c r="G113" s="48">
        <v>355.25599999999997</v>
      </c>
      <c r="H113" s="86">
        <f>SQRT((F110-F113)^2+(F111-F114)^2+(F112-F115)^2)</f>
        <v>8.1052232270308042E-2</v>
      </c>
      <c r="I113" s="89">
        <v>92.14251767683254</v>
      </c>
      <c r="J113" s="17">
        <f>'Intel T265'!F113-'Experimental Procedure'!$C$113</f>
        <v>6.2530999999999892E-2</v>
      </c>
      <c r="K113" s="86">
        <f t="shared" ref="K113" si="29">SQRT(J113^2+J114^2+J115^2)</f>
        <v>0.54162571264481152</v>
      </c>
      <c r="L113" s="48">
        <f>IF('Intel T265'!G113-'Experimental Procedure'!$D$113&lt;-180,'Intel T265'!G113-'Experimental Procedure'!$D$113 + 360,IF('Intel T265'!G113-'Experimental Procedure'!$D$113&gt;180,'Intel T265'!G113-'Experimental Procedure'!$D$113 - 360,'Intel T265'!G113-'Experimental Procedure'!$D$113))</f>
        <v>-4.7440000000000282</v>
      </c>
      <c r="M113" s="89">
        <v>5.1929658241539816</v>
      </c>
      <c r="N113" s="51" t="str">
        <f>IF('Experimental Procedure'!$E$113=0,"NaN",J113/'Experimental Procedure'!$E$113*100)</f>
        <v>NaN</v>
      </c>
      <c r="O113" s="92" t="str">
        <f>IF('Experimental Procedure'!$G$113=0,"NaN",'Intel T265'!K113/'Experimental Procedure'!$G$113*100)</f>
        <v>NaN</v>
      </c>
      <c r="P113" s="51" t="str">
        <f>IF('Experimental Procedure'!$F$113=0,"NaN",L113/'Experimental Procedure'!$F$113*100)</f>
        <v>NaN</v>
      </c>
      <c r="Q113" s="109">
        <f>IF('Experimental Procedure'!$H$113=0,"NaN",'Intel T265'!M113/'Experimental Procedure'!$H$113*100)</f>
        <v>5.7699620268377574</v>
      </c>
    </row>
    <row r="114" spans="4:18" x14ac:dyDescent="0.25">
      <c r="D114" s="73"/>
      <c r="E114" s="9" t="s">
        <v>135</v>
      </c>
      <c r="F114" s="19">
        <v>1.358114</v>
      </c>
      <c r="G114" s="49">
        <v>271.35000000000002</v>
      </c>
      <c r="H114" s="87"/>
      <c r="I114" s="90"/>
      <c r="J114" s="19">
        <f>'Intel T265'!F114-'Experimental Procedure'!$C$114</f>
        <v>-4.1885999999999868E-2</v>
      </c>
      <c r="K114" s="87"/>
      <c r="L114" s="49">
        <f>IF('Intel T265'!G114-'Experimental Procedure'!$D$114&lt;-180,'Intel T265'!G114-'Experimental Procedure'!$D$114 + 360,IF('Intel T265'!G114-'Experimental Procedure'!$D$114&gt;180,'Intel T265'!G114-'Experimental Procedure'!$D$114 - 360,'Intel T265'!G114-'Experimental Procedure'!$D$114))</f>
        <v>1.3500000000000227</v>
      </c>
      <c r="M114" s="90"/>
      <c r="N114" s="52" t="str">
        <f>IF('Experimental Procedure'!$E$114=0,"NaN",J114/'Experimental Procedure'!$E$114*100)</f>
        <v>NaN</v>
      </c>
      <c r="O114" s="93"/>
      <c r="P114" s="52">
        <f>IF('Experimental Procedure'!$F$114=0,"NaN",L114/'Experimental Procedure'!$F$114*100)</f>
        <v>1.5000000000000253</v>
      </c>
      <c r="Q114" s="110"/>
      <c r="R114" s="33"/>
    </row>
    <row r="115" spans="4:18" ht="15.75" thickBot="1" x14ac:dyDescent="0.3">
      <c r="D115" s="74"/>
      <c r="E115" s="10" t="s">
        <v>136</v>
      </c>
      <c r="F115" s="21">
        <v>3.4636290000000001</v>
      </c>
      <c r="G115" s="50">
        <v>1.570317</v>
      </c>
      <c r="H115" s="88"/>
      <c r="I115" s="91"/>
      <c r="J115" s="21">
        <f>'Intel T265'!F115-'Experimental Procedure'!$C$115</f>
        <v>-0.53637099999999993</v>
      </c>
      <c r="K115" s="88"/>
      <c r="L115" s="50">
        <f>IF('Intel T265'!G115-'Experimental Procedure'!$D$115&lt;-180,'Intel T265'!G115-'Experimental Procedure'!$D$115 + 360,IF('Intel T265'!G115-'Experimental Procedure'!$D$115&gt;180,'Intel T265'!G115-'Experimental Procedure'!$D$115 - 360,'Intel T265'!G115-'Experimental Procedure'!$D$115))</f>
        <v>1.570317</v>
      </c>
      <c r="M115" s="91"/>
      <c r="N115" s="53" t="str">
        <f>IF('Experimental Procedure'!$E$115=0,"NaN",J115/'Experimental Procedure'!$E$115*100)</f>
        <v>NaN</v>
      </c>
      <c r="O115" s="94"/>
      <c r="P115" s="53" t="str">
        <f>IF('Experimental Procedure'!$F$115=0,"NaN",L115/'Experimental Procedure'!$F$115*100)</f>
        <v>NaN</v>
      </c>
      <c r="Q115" s="111"/>
    </row>
    <row r="116" spans="4:18" x14ac:dyDescent="0.25">
      <c r="D116" s="72" t="s">
        <v>188</v>
      </c>
      <c r="E116" s="9" t="s">
        <v>134</v>
      </c>
      <c r="F116" s="17">
        <v>0.57283969999999995</v>
      </c>
      <c r="G116" s="48">
        <v>354.99900000000002</v>
      </c>
      <c r="H116" s="86">
        <f>SQRT((F113-F116)^2+(F114-F117)^2+(F115-F118)^2)</f>
        <v>5.4898164565990442</v>
      </c>
      <c r="I116" s="89">
        <v>1.3829530380531871</v>
      </c>
      <c r="J116" s="17">
        <f>'Intel T265'!F116-'Experimental Procedure'!$C$116</f>
        <v>0.57283969999999995</v>
      </c>
      <c r="K116" s="86">
        <f t="shared" ref="K116" si="30">SQRT(J116^2+J117^2+J118^2)</f>
        <v>0.7752514229055566</v>
      </c>
      <c r="L116" s="48">
        <f>IF('Intel T265'!G116-'Experimental Procedure'!$D$116&lt;-180,'Intel T265'!G116-'Experimental Procedure'!$D$116 + 360,IF('Intel T265'!G116-'Experimental Procedure'!$D$116&gt;180,'Intel T265'!G116-'Experimental Procedure'!$D$116 - 360,'Intel T265'!G116-'Experimental Procedure'!$D$116))</f>
        <v>-5.0009999999999764</v>
      </c>
      <c r="M116" s="89">
        <v>6.0494787385188706</v>
      </c>
      <c r="N116" s="51">
        <f>IF('Experimental Procedure'!$E$116=0,"NaN",J116/'Experimental Procedure'!$E$116*100)</f>
        <v>9.5473283333333328</v>
      </c>
      <c r="O116" s="92">
        <f>IF('Experimental Procedure'!$G$116=0,"NaN",'Intel T265'!K116/'Experimental Procedure'!$G$116*100)</f>
        <v>12.920857048425944</v>
      </c>
      <c r="P116" s="51" t="str">
        <f>IF('Experimental Procedure'!$F$116=0,"NaN",L116/'Experimental Procedure'!$F$116*100)</f>
        <v>NaN</v>
      </c>
      <c r="Q116" s="109" t="str">
        <f>IF('Experimental Procedure'!$H$116=0,"NaN",'Intel T265'!M116/'Experimental Procedure'!$H$116*100)</f>
        <v>NaN</v>
      </c>
    </row>
    <row r="117" spans="4:18" x14ac:dyDescent="0.25">
      <c r="D117" s="73"/>
      <c r="E117" s="9" t="s">
        <v>135</v>
      </c>
      <c r="F117" s="19">
        <v>1.392415</v>
      </c>
      <c r="G117" s="49">
        <v>271.79129999999998</v>
      </c>
      <c r="H117" s="87"/>
      <c r="I117" s="90"/>
      <c r="J117" s="19">
        <f>'Intel T265'!F117-'Experimental Procedure'!$C$117</f>
        <v>-7.5849999999999529E-3</v>
      </c>
      <c r="K117" s="87"/>
      <c r="L117" s="49">
        <f>IF('Intel T265'!G117-'Experimental Procedure'!$D$117&lt;-180,'Intel T265'!G117-'Experimental Procedure'!$D$117 + 360,IF('Intel T265'!G117-'Experimental Procedure'!$D$117&gt;180,'Intel T265'!G117-'Experimental Procedure'!$D$117 - 360,'Intel T265'!G117-'Experimental Procedure'!$D$117))</f>
        <v>1.7912999999999784</v>
      </c>
      <c r="M117" s="90"/>
      <c r="N117" s="52" t="str">
        <f>IF('Experimental Procedure'!$E$117=0,"NaN",J117/'Experimental Procedure'!$E$117*100)</f>
        <v>NaN</v>
      </c>
      <c r="O117" s="93"/>
      <c r="P117" s="52" t="str">
        <f>IF('Experimental Procedure'!$F$117=0,"NaN",L117/'Experimental Procedure'!$F$117*100)</f>
        <v>NaN</v>
      </c>
      <c r="Q117" s="110"/>
    </row>
    <row r="118" spans="4:18" ht="15.75" thickBot="1" x14ac:dyDescent="0.3">
      <c r="D118" s="74"/>
      <c r="E118" s="10" t="s">
        <v>136</v>
      </c>
      <c r="F118" s="21">
        <v>3.4776859999999998</v>
      </c>
      <c r="G118" s="50">
        <v>2.818594</v>
      </c>
      <c r="H118" s="88"/>
      <c r="I118" s="91"/>
      <c r="J118" s="21">
        <f>'Intel T265'!F118-'Experimental Procedure'!$C$118</f>
        <v>-0.52231400000000017</v>
      </c>
      <c r="K118" s="88"/>
      <c r="L118" s="50">
        <f>IF('Intel T265'!G118-'Experimental Procedure'!$D$118&lt;-180,'Intel T265'!G118-'Experimental Procedure'!$D$118 + 360,IF('Intel T265'!G118-'Experimental Procedure'!$D$118&gt;180,'Intel T265'!G118-'Experimental Procedure'!$D$118 - 360,'Intel T265'!G118-'Experimental Procedure'!$D$118))</f>
        <v>2.818594</v>
      </c>
      <c r="M118" s="91"/>
      <c r="N118" s="53" t="str">
        <f>IF('Experimental Procedure'!$E$118=0,"NaN",J118/'Experimental Procedure'!$E$118*100)</f>
        <v>NaN</v>
      </c>
      <c r="O118" s="94"/>
      <c r="P118" s="53" t="str">
        <f>IF('Experimental Procedure'!$F$118=0,"NaN",L118/'Experimental Procedure'!$F$118*100)</f>
        <v>NaN</v>
      </c>
      <c r="Q118" s="111"/>
    </row>
    <row r="119" spans="4:18" x14ac:dyDescent="0.25">
      <c r="D119" s="72" t="s">
        <v>191</v>
      </c>
      <c r="E119" s="8" t="s">
        <v>134</v>
      </c>
      <c r="F119" s="17">
        <v>0.64354520000000004</v>
      </c>
      <c r="G119" s="48">
        <v>352.02010000000001</v>
      </c>
      <c r="H119" s="86">
        <f>SQRT((F116-F119)^2+(F117-F120)^2+(F118-F121)^2)</f>
        <v>0.11587493525025165</v>
      </c>
      <c r="I119" s="89">
        <v>88.580469211457213</v>
      </c>
      <c r="J119" s="17">
        <f>'Intel T265'!F119-'Experimental Procedure'!$C$119</f>
        <v>0.64354520000000004</v>
      </c>
      <c r="K119" s="86">
        <f t="shared" ref="K119" si="31">SQRT(J119^2+J120^2+J121^2)</f>
        <v>0.88590069890650858</v>
      </c>
      <c r="L119" s="48">
        <f>IF('Intel T265'!G119-'Experimental Procedure'!$D$119&lt;-180,'Intel T265'!G119-'Experimental Procedure'!$D$119 + 360,IF('Intel T265'!G119-'Experimental Procedure'!$D$119&gt;180,'Intel T265'!G119-'Experimental Procedure'!$D$119 - 360,'Intel T265'!G119-'Experimental Procedure'!$D$119))</f>
        <v>-7.9798999999999864</v>
      </c>
      <c r="M119" s="89">
        <v>8.9387874182106177</v>
      </c>
      <c r="N119" s="51" t="str">
        <f>IF('Experimental Procedure'!$E$119=0,"NaN",J119/'Experimental Procedure'!$E$119*100)</f>
        <v>NaN</v>
      </c>
      <c r="O119" s="92" t="str">
        <f>IF('Experimental Procedure'!$G$119=0,"NaN",'Intel T265'!K119/'Experimental Procedure'!$G$119*100)</f>
        <v>NaN</v>
      </c>
      <c r="P119" s="51" t="str">
        <f>IF('Experimental Procedure'!$F$119=0,"NaN",L119/'Experimental Procedure'!$F$119*100)</f>
        <v>NaN</v>
      </c>
      <c r="Q119" s="109">
        <f>IF('Experimental Procedure'!$H$119=0,"NaN",'Intel T265'!M119/'Experimental Procedure'!$H$119*100)</f>
        <v>9.9319860202340209</v>
      </c>
    </row>
    <row r="120" spans="4:18" x14ac:dyDescent="0.25">
      <c r="D120" s="73"/>
      <c r="E120" s="9" t="s">
        <v>135</v>
      </c>
      <c r="F120" s="19">
        <v>1.424482</v>
      </c>
      <c r="G120" s="49">
        <v>183.34209999999999</v>
      </c>
      <c r="H120" s="87"/>
      <c r="I120" s="90"/>
      <c r="J120" s="19">
        <f>'Intel T265'!F120-'Experimental Procedure'!$C$120</f>
        <v>2.4482000000000115E-2</v>
      </c>
      <c r="K120" s="87"/>
      <c r="L120" s="49">
        <f>IF('Intel T265'!G120-'Experimental Procedure'!$D$120&lt;-180,'Intel T265'!G120-'Experimental Procedure'!$D$120 + 360,IF('Intel T265'!G120-'Experimental Procedure'!$D$120&gt;180,'Intel T265'!G120-'Experimental Procedure'!$D$120 - 360,'Intel T265'!G120-'Experimental Procedure'!$D$120))</f>
        <v>3.3420999999999879</v>
      </c>
      <c r="M120" s="90"/>
      <c r="N120" s="52" t="str">
        <f>IF('Experimental Procedure'!$E$120=0,"NaN",J120/'Experimental Procedure'!$E$120*100)</f>
        <v>NaN</v>
      </c>
      <c r="O120" s="93"/>
      <c r="P120" s="52">
        <f>IF('Experimental Procedure'!$F$120=0,"NaN",L120/'Experimental Procedure'!$F$120*100)</f>
        <v>3.713444444444431</v>
      </c>
      <c r="Q120" s="110"/>
    </row>
    <row r="121" spans="4:18" ht="15.75" thickBot="1" x14ac:dyDescent="0.3">
      <c r="D121" s="74"/>
      <c r="E121" s="10" t="s">
        <v>136</v>
      </c>
      <c r="F121" s="21">
        <v>3.3916659999999998</v>
      </c>
      <c r="G121" s="50">
        <v>2.0329999999999999</v>
      </c>
      <c r="H121" s="88"/>
      <c r="I121" s="91"/>
      <c r="J121" s="21">
        <f>'Intel T265'!F121-'Experimental Procedure'!$C$121</f>
        <v>-0.60833400000000015</v>
      </c>
      <c r="K121" s="88"/>
      <c r="L121" s="50">
        <f>IF('Intel T265'!G121-'Experimental Procedure'!$D$121&lt;-180,'Intel T265'!G121-'Experimental Procedure'!$D$121 + 360,IF('Intel T265'!G121-'Experimental Procedure'!$D$121&gt;180,'Intel T265'!G121-'Experimental Procedure'!$D$121 - 360,'Intel T265'!G121-'Experimental Procedure'!$D$121))</f>
        <v>2.0329999999999999</v>
      </c>
      <c r="M121" s="91"/>
      <c r="N121" s="53" t="str">
        <f>IF('Experimental Procedure'!$E$121=0,"NaN",J121/'Experimental Procedure'!$E$121*100)</f>
        <v>NaN</v>
      </c>
      <c r="O121" s="94"/>
      <c r="P121" s="53" t="str">
        <f>IF('Experimental Procedure'!$F$121=0,"NaN",L121/'Experimental Procedure'!$F$121*100)</f>
        <v>NaN</v>
      </c>
      <c r="Q121" s="111"/>
    </row>
    <row r="122" spans="4:18" x14ac:dyDescent="0.25">
      <c r="D122" s="72" t="s">
        <v>190</v>
      </c>
      <c r="E122" s="8" t="s">
        <v>134</v>
      </c>
      <c r="F122" s="17">
        <v>0.56092880000000001</v>
      </c>
      <c r="G122" s="48">
        <v>354.63209999999998</v>
      </c>
      <c r="H122" s="86">
        <f>SQRT((F119-F122)^2+(F120-F123)^2+(F121-F124)^2)</f>
        <v>3.6509946125917465</v>
      </c>
      <c r="I122" s="89">
        <v>4.0426341857988808</v>
      </c>
      <c r="J122" s="17">
        <f>'Intel T265'!F122-'Experimental Procedure'!$C$122</f>
        <v>0.56092880000000001</v>
      </c>
      <c r="K122" s="86">
        <f t="shared" ref="K122" si="32">SQRT(J122^2+J123^2+J124^2)</f>
        <v>0.61761101495556248</v>
      </c>
      <c r="L122" s="48">
        <f>IF('Intel T265'!G122-'Experimental Procedure'!$D$122&lt;-180,'Intel T265'!G122-'Experimental Procedure'!$D$122 + 360,IF('Intel T265'!G122-'Experimental Procedure'!$D$122&gt;180,'Intel T265'!G122-'Experimental Procedure'!$D$122 - 360,'Intel T265'!G122-'Experimental Procedure'!$D$122))</f>
        <v>-5.3679000000000201</v>
      </c>
      <c r="M122" s="89">
        <v>6.5112621927241383</v>
      </c>
      <c r="N122" s="51" t="str">
        <f>IF('Experimental Procedure'!$E$122=0,"NaN",J122/'Experimental Procedure'!$E$122*100)</f>
        <v>NaN</v>
      </c>
      <c r="O122" s="92">
        <f>IF('Experimental Procedure'!$G$122=0,"NaN",'Intel T265'!K122/'Experimental Procedure'!$G$122*100)</f>
        <v>15.440275373889062</v>
      </c>
      <c r="P122" s="51" t="str">
        <f>IF('Experimental Procedure'!$F$122=0,"NaN",L122/'Experimental Procedure'!$F$122*100)</f>
        <v>NaN</v>
      </c>
      <c r="Q122" s="109" t="str">
        <f>IF('Experimental Procedure'!$H$122=0,"NaN",'Intel T265'!M122/'Experimental Procedure'!$H$122*100)</f>
        <v>NaN</v>
      </c>
    </row>
    <row r="123" spans="4:18" x14ac:dyDescent="0.25">
      <c r="D123" s="73"/>
      <c r="E123" s="9" t="s">
        <v>135</v>
      </c>
      <c r="F123" s="19">
        <v>1.4074469999999999</v>
      </c>
      <c r="G123" s="49">
        <v>180.50839999999999</v>
      </c>
      <c r="H123" s="87"/>
      <c r="I123" s="90"/>
      <c r="J123" s="19">
        <f>'Intel T265'!F123-'Experimental Procedure'!$C$123</f>
        <v>7.4469999999999814E-3</v>
      </c>
      <c r="K123" s="87"/>
      <c r="L123" s="49">
        <f>IF('Intel T265'!G123-'Experimental Procedure'!$D$123&lt;-180,'Intel T265'!G123-'Experimental Procedure'!$D$123 + 360,IF('Intel T265'!G123-'Experimental Procedure'!$D$123&gt;180,'Intel T265'!G123-'Experimental Procedure'!$D$123 - 360,'Intel T265'!G123-'Experimental Procedure'!$D$123))</f>
        <v>0.50839999999999463</v>
      </c>
      <c r="M123" s="90"/>
      <c r="N123" s="52" t="str">
        <f>IF('Experimental Procedure'!$E$123=0,"NaN",J123/'Experimental Procedure'!$E$123*100)</f>
        <v>NaN</v>
      </c>
      <c r="O123" s="93"/>
      <c r="P123" s="52" t="str">
        <f>IF('Experimental Procedure'!$F$123=0,"NaN",L123/'Experimental Procedure'!$F$123*100)</f>
        <v>NaN</v>
      </c>
      <c r="Q123" s="110"/>
    </row>
    <row r="124" spans="4:18" ht="15.75" thickBot="1" x14ac:dyDescent="0.3">
      <c r="D124" s="74"/>
      <c r="E124" s="10" t="s">
        <v>136</v>
      </c>
      <c r="F124" s="21">
        <v>-0.25835399999999997</v>
      </c>
      <c r="G124" s="50">
        <v>3.6277849999999998</v>
      </c>
      <c r="H124" s="88"/>
      <c r="I124" s="91"/>
      <c r="J124" s="21">
        <f>'Intel T265'!F124-'Experimental Procedure'!$C$124</f>
        <v>-0.25835399999999997</v>
      </c>
      <c r="K124" s="88"/>
      <c r="L124" s="50">
        <f>IF('Intel T265'!G124-'Experimental Procedure'!$D$124&lt;-180,'Intel T265'!G124-'Experimental Procedure'!$D$124 + 360,IF('Intel T265'!G124-'Experimental Procedure'!$D$124&gt;180,'Intel T265'!G124-'Experimental Procedure'!$D$124 - 360,'Intel T265'!G124-'Experimental Procedure'!$D$124))</f>
        <v>3.6277849999999998</v>
      </c>
      <c r="M124" s="91"/>
      <c r="N124" s="53">
        <f>IF('Experimental Procedure'!$E$124=0,"NaN",J124/'Experimental Procedure'!$E$124*100)</f>
        <v>-6.4588499999999991</v>
      </c>
      <c r="O124" s="94"/>
      <c r="P124" s="53" t="str">
        <f>IF('Experimental Procedure'!$F$124=0,"NaN",L124/'Experimental Procedure'!$F$124*100)</f>
        <v>NaN</v>
      </c>
      <c r="Q124" s="111"/>
    </row>
    <row r="125" spans="4:18" x14ac:dyDescent="0.25">
      <c r="D125" s="72" t="s">
        <v>191</v>
      </c>
      <c r="E125" s="8" t="s">
        <v>134</v>
      </c>
      <c r="F125" s="17">
        <v>0.63073639999999997</v>
      </c>
      <c r="G125" s="48">
        <v>353.8929</v>
      </c>
      <c r="H125" s="86">
        <f>SQRT((F122-F125)^2+(F123-F126)^2+(F124-F127)^2)</f>
        <v>0.17817312039070315</v>
      </c>
      <c r="I125" s="89">
        <v>88.52642136863021</v>
      </c>
      <c r="J125" s="17">
        <f>'Intel T265'!F125-'Experimental Procedure'!$C$125</f>
        <v>0.63073639999999997</v>
      </c>
      <c r="K125" s="86">
        <f t="shared" ref="K125" si="33">SQRT(J125^2+J126^2+J127^2)</f>
        <v>0.63885103473811478</v>
      </c>
      <c r="L125" s="48">
        <f>IF('Intel T265'!G125-'Experimental Procedure'!$D$125&lt;-180,'Intel T265'!G125-'Experimental Procedure'!$D$125 + 360,IF('Intel T265'!G125-'Experimental Procedure'!$D$125&gt;180,'Intel T265'!G125-'Experimental Procedure'!$D$125 - 360,'Intel T265'!G125-'Experimental Procedure'!$D$125))</f>
        <v>-6.1071000000000026</v>
      </c>
      <c r="M125" s="89">
        <v>7.6390088008947918</v>
      </c>
      <c r="N125" s="51" t="str">
        <f>IF('Experimental Procedure'!$E$125=0,"NaN",J125/'Experimental Procedure'!$E$125*100)</f>
        <v>NaN</v>
      </c>
      <c r="O125" s="92" t="str">
        <f>IF('Experimental Procedure'!$G$125=0,"NaN",'Intel T265'!K125/'Experimental Procedure'!$G$125*100)</f>
        <v>NaN</v>
      </c>
      <c r="P125" s="51" t="str">
        <f>IF('Experimental Procedure'!$F$125=0,"NaN",L125/'Experimental Procedure'!$F$125*100)</f>
        <v>NaN</v>
      </c>
      <c r="Q125" s="109">
        <f>IF('Experimental Procedure'!$H$125=0,"NaN",'Intel T265'!M125/'Experimental Procedure'!$H$125*100)</f>
        <v>8.4877875565497689</v>
      </c>
    </row>
    <row r="126" spans="4:18" x14ac:dyDescent="0.25">
      <c r="D126" s="73"/>
      <c r="E126" s="9" t="s">
        <v>135</v>
      </c>
      <c r="F126" s="19">
        <v>1.4321010000000001</v>
      </c>
      <c r="G126" s="49">
        <v>91.942250000000001</v>
      </c>
      <c r="H126" s="87"/>
      <c r="I126" s="90"/>
      <c r="J126" s="19">
        <f>'Intel T265'!F126-'Experimental Procedure'!$C$126</f>
        <v>3.2101000000000157E-2</v>
      </c>
      <c r="K126" s="87"/>
      <c r="L126" s="49">
        <f>IF('Intel T265'!G126-'Experimental Procedure'!$D$126&lt;-180,'Intel T265'!G126-'Experimental Procedure'!$D$126 + 360,IF('Intel T265'!G126-'Experimental Procedure'!$D$126&gt;180,'Intel T265'!G126-'Experimental Procedure'!$D$126 - 360,'Intel T265'!G126-'Experimental Procedure'!$D$126))</f>
        <v>1.9422500000000014</v>
      </c>
      <c r="M126" s="90"/>
      <c r="N126" s="52" t="str">
        <f>IF('Experimental Procedure'!$E$126=0,"NaN",J126/'Experimental Procedure'!$E$126*100)</f>
        <v>NaN</v>
      </c>
      <c r="O126" s="93"/>
      <c r="P126" s="52">
        <f>IF('Experimental Procedure'!$F$126=0,"NaN",L126/'Experimental Procedure'!$F$126*100)</f>
        <v>2.1580555555555572</v>
      </c>
      <c r="Q126" s="110"/>
    </row>
    <row r="127" spans="4:18" ht="15.75" thickBot="1" x14ac:dyDescent="0.3">
      <c r="D127" s="74"/>
      <c r="E127" s="10" t="s">
        <v>136</v>
      </c>
      <c r="F127" s="21">
        <v>-9.6290000000000001E-2</v>
      </c>
      <c r="G127" s="50">
        <v>4.0578469999999998</v>
      </c>
      <c r="H127" s="88"/>
      <c r="I127" s="91"/>
      <c r="J127" s="21">
        <f>'Intel T265'!F127-'Experimental Procedure'!$C$127</f>
        <v>-9.6290000000000001E-2</v>
      </c>
      <c r="K127" s="88"/>
      <c r="L127" s="50">
        <f>IF('Intel T265'!G127-'Experimental Procedure'!$D$127&lt;-180,'Intel T265'!G127-'Experimental Procedure'!$D$127 + 360,IF('Intel T265'!G127-'Experimental Procedure'!$D$127&gt;180,'Intel T265'!G127-'Experimental Procedure'!$D$127 - 360,'Intel T265'!G127-'Experimental Procedure'!$D$127))</f>
        <v>4.0578469999999998</v>
      </c>
      <c r="M127" s="91"/>
      <c r="N127" s="53" t="str">
        <f>IF('Experimental Procedure'!$E$127=0,"NaN",J127/'Experimental Procedure'!$E$127*100)</f>
        <v>NaN</v>
      </c>
      <c r="O127" s="94"/>
      <c r="P127" s="53" t="str">
        <f>IF('Experimental Procedure'!$F$127=0,"NaN",L127/'Experimental Procedure'!$F$127*100)</f>
        <v>NaN</v>
      </c>
      <c r="Q127" s="111"/>
    </row>
    <row r="128" spans="4:18" x14ac:dyDescent="0.25">
      <c r="D128" s="72" t="s">
        <v>180</v>
      </c>
      <c r="E128" s="8" t="s">
        <v>134</v>
      </c>
      <c r="F128" s="17">
        <v>5.2534489999999998</v>
      </c>
      <c r="G128" s="48">
        <v>357.01229999999998</v>
      </c>
      <c r="H128" s="86">
        <f>SQRT((F125-F128)^2+(F126-F129)^2+(F127-F130)^2)</f>
        <v>4.6251924148944603</v>
      </c>
      <c r="I128" s="89">
        <v>3.4284593770416318</v>
      </c>
      <c r="J128" s="17">
        <f>'Intel T265'!F128-'Experimental Procedure'!$C$128</f>
        <v>-0.74655100000000019</v>
      </c>
      <c r="K128" s="86">
        <f t="shared" ref="K128" si="34">SQRT(J128^2+J129^2+J130^2)</f>
        <v>0.7864988103605054</v>
      </c>
      <c r="L128" s="48">
        <f>IF('Intel T265'!G128-'Experimental Procedure'!$D$128&lt;-180,'Intel T265'!G128-'Experimental Procedure'!$D$128 + 360,IF('Intel T265'!G128-'Experimental Procedure'!$D$128&gt;180,'Intel T265'!G128-'Experimental Procedure'!$D$128 - 360,'Intel T265'!G128-'Experimental Procedure'!$D$128))</f>
        <v>-2.987700000000018</v>
      </c>
      <c r="M128" s="89">
        <v>5.3977284210970113</v>
      </c>
      <c r="N128" s="51">
        <f>IF('Experimental Procedure'!$E$128=0,"NaN",J128/'Experimental Procedure'!$E$128*100)</f>
        <v>-12.44251666666667</v>
      </c>
      <c r="O128" s="92">
        <f>IF('Experimental Procedure'!$G$128=0,"NaN",'Intel T265'!K128/'Experimental Procedure'!$G$128*100)</f>
        <v>13.108313506008423</v>
      </c>
      <c r="P128" s="51" t="str">
        <f>IF('Experimental Procedure'!$F$128=0,"NaN",L128/'Experimental Procedure'!$F$128*100)</f>
        <v>NaN</v>
      </c>
      <c r="Q128" s="109" t="str">
        <f>IF('Experimental Procedure'!$H$128=0,"NaN",'Intel T265'!M128/'Experimental Procedure'!$H$128*100)</f>
        <v>NaN</v>
      </c>
    </row>
    <row r="129" spans="4:17" x14ac:dyDescent="0.25">
      <c r="D129" s="73"/>
      <c r="E129" s="9" t="s">
        <v>135</v>
      </c>
      <c r="F129" s="19">
        <v>1.4164969999999999</v>
      </c>
      <c r="G129" s="49">
        <v>90.542950000000005</v>
      </c>
      <c r="H129" s="87"/>
      <c r="I129" s="90"/>
      <c r="J129" s="19">
        <f>'Intel T265'!F129-'Experimental Procedure'!$C$129</f>
        <v>1.6496999999999984E-2</v>
      </c>
      <c r="K129" s="87"/>
      <c r="L129" s="49">
        <f>IF('Intel T265'!G129-'Experimental Procedure'!$D$129&lt;-180,'Intel T265'!G129-'Experimental Procedure'!$D$129 + 360,IF('Intel T265'!G129-'Experimental Procedure'!$D$129&gt;180,'Intel T265'!G129-'Experimental Procedure'!$D$129 - 360,'Intel T265'!G129-'Experimental Procedure'!$D$129))</f>
        <v>0.54295000000000471</v>
      </c>
      <c r="M129" s="90"/>
      <c r="N129" s="52" t="str">
        <f>IF('Experimental Procedure'!$E$129=0,"NaN",J129/'Experimental Procedure'!$E$129*100)</f>
        <v>NaN</v>
      </c>
      <c r="O129" s="93"/>
      <c r="P129" s="52" t="str">
        <f>IF('Experimental Procedure'!$F$129=0,"NaN",L129/'Experimental Procedure'!$F$129*100)</f>
        <v>NaN</v>
      </c>
      <c r="Q129" s="110"/>
    </row>
    <row r="130" spans="4:17" ht="15.75" thickBot="1" x14ac:dyDescent="0.3">
      <c r="D130" s="74"/>
      <c r="E130" s="10" t="s">
        <v>136</v>
      </c>
      <c r="F130" s="21">
        <v>-0.24692069999999999</v>
      </c>
      <c r="G130" s="50">
        <v>4.4489400000000003</v>
      </c>
      <c r="H130" s="88"/>
      <c r="I130" s="91"/>
      <c r="J130" s="21">
        <f>'Intel T265'!F130-'Experimental Procedure'!$C$130</f>
        <v>-0.24692069999999999</v>
      </c>
      <c r="K130" s="88"/>
      <c r="L130" s="50">
        <f>IF('Intel T265'!G130-'Experimental Procedure'!$D$130&lt;-180,'Intel T265'!G130-'Experimental Procedure'!$D$130 + 360,IF('Intel T265'!G130-'Experimental Procedure'!$D$130&gt;180,'Intel T265'!G130-'Experimental Procedure'!$D$130 - 360,'Intel T265'!G130-'Experimental Procedure'!$D$130))</f>
        <v>4.4489400000000003</v>
      </c>
      <c r="M130" s="91"/>
      <c r="N130" s="53" t="str">
        <f>IF('Experimental Procedure'!$E$130=0,"NaN",J130/'Experimental Procedure'!$E$130*100)</f>
        <v>NaN</v>
      </c>
      <c r="O130" s="94"/>
      <c r="P130" s="53" t="str">
        <f>IF('Experimental Procedure'!$F$130=0,"NaN",L130/'Experimental Procedure'!$F$130*100)</f>
        <v>NaN</v>
      </c>
      <c r="Q130" s="111"/>
    </row>
    <row r="131" spans="4:17" x14ac:dyDescent="0.25">
      <c r="D131" s="83" t="s">
        <v>192</v>
      </c>
      <c r="E131" s="8" t="s">
        <v>134</v>
      </c>
      <c r="F131" s="17">
        <v>5.9770700000000003</v>
      </c>
      <c r="G131" s="48">
        <v>352.27199999999999</v>
      </c>
      <c r="H131" s="86">
        <f>SQRT((F128-F131)^2+(F129-F132)^2+(F130-F133)^2)</f>
        <v>0.76235483283383931</v>
      </c>
      <c r="I131" s="89">
        <v>89.803124504934971</v>
      </c>
      <c r="J131" s="17">
        <f>'Intel T265'!F131-'Experimental Procedure'!$C$131</f>
        <v>-2.2929999999999673E-2</v>
      </c>
      <c r="K131" s="86">
        <f t="shared" ref="K131" si="35">SQRT(J131^2+J132^2+J133^2)</f>
        <v>2.9535557054648272E-2</v>
      </c>
      <c r="L131" s="48">
        <f>IF('Intel T265'!G131-'Experimental Procedure'!$D$131&lt;-180,'Intel T265'!G131-'Experimental Procedure'!$D$131 + 360,IF('Intel T265'!G131-'Experimental Procedure'!$D$131&gt;180,'Intel T265'!G131-'Experimental Procedure'!$D$131 - 360,'Intel T265'!G131-'Experimental Procedure'!$D$131))</f>
        <v>-7.7280000000000086</v>
      </c>
      <c r="M131" s="89">
        <v>8.3117970606128715</v>
      </c>
      <c r="N131" s="51" t="str">
        <f>IF('Experimental Procedure'!$E$131=0,"NaN",J131/'Experimental Procedure'!$E$131*100)</f>
        <v>NaN</v>
      </c>
      <c r="O131" s="92" t="str">
        <f>IF('Experimental Procedure'!$G$131=0,"NaN",'Intel T265'!K131/'Experimental Procedure'!$G$131*100)</f>
        <v>NaN</v>
      </c>
      <c r="P131" s="51" t="str">
        <f>IF('Experimental Procedure'!$F$131=0,"NaN",L131/'Experimental Procedure'!$F$131*100)</f>
        <v>NaN</v>
      </c>
      <c r="Q131" s="109">
        <f>IF('Experimental Procedure'!$H$131=0,"NaN",'Intel T265'!M131/'Experimental Procedure'!$H$131*100)</f>
        <v>9.235330067347638</v>
      </c>
    </row>
    <row r="132" spans="4:17" x14ac:dyDescent="0.25">
      <c r="D132" s="84"/>
      <c r="E132" s="9" t="s">
        <v>135</v>
      </c>
      <c r="F132" s="19">
        <v>1.38384</v>
      </c>
      <c r="G132" s="49">
        <v>1.001323</v>
      </c>
      <c r="H132" s="87"/>
      <c r="I132" s="90"/>
      <c r="J132" s="19">
        <f>'Intel T265'!F132-'Experimental Procedure'!$C$132</f>
        <v>-1.6159999999999952E-2</v>
      </c>
      <c r="K132" s="87"/>
      <c r="L132" s="49">
        <f>IF('Intel T265'!G132-'Experimental Procedure'!$D$132&lt;-180,'Intel T265'!G132-'Experimental Procedure'!$D$132 + 360,IF('Intel T265'!G132-'Experimental Procedure'!$D$132&gt;180,'Intel T265'!G132-'Experimental Procedure'!$D$132 - 360,'Intel T265'!G132-'Experimental Procedure'!$D$132))</f>
        <v>1.001323</v>
      </c>
      <c r="M132" s="90"/>
      <c r="N132" s="52" t="str">
        <f>IF('Experimental Procedure'!$E$132=0,"NaN",J132/'Experimental Procedure'!$E$132*100)</f>
        <v>NaN</v>
      </c>
      <c r="O132" s="93"/>
      <c r="P132" s="52">
        <f>IF('Experimental Procedure'!$F$132=0,"NaN",L132/'Experimental Procedure'!$F$132*100)</f>
        <v>1.112581111111111</v>
      </c>
      <c r="Q132" s="110"/>
    </row>
    <row r="133" spans="4:17" ht="15.75" thickBot="1" x14ac:dyDescent="0.3">
      <c r="D133" s="85"/>
      <c r="E133" s="10" t="s">
        <v>136</v>
      </c>
      <c r="F133" s="21">
        <v>-9.2422200000000006E-3</v>
      </c>
      <c r="G133" s="50">
        <v>2.8272499999999998</v>
      </c>
      <c r="H133" s="88"/>
      <c r="I133" s="91"/>
      <c r="J133" s="21">
        <f>'Intel T265'!F133-'Experimental Procedure'!$C$133</f>
        <v>-9.2422200000000006E-3</v>
      </c>
      <c r="K133" s="88"/>
      <c r="L133" s="50">
        <f>IF('Intel T265'!G133-'Experimental Procedure'!$D$133&lt;-180,'Intel T265'!G133-'Experimental Procedure'!$D$133 + 360,IF('Intel T265'!G133-'Experimental Procedure'!$D$133&gt;180,'Intel T265'!G133-'Experimental Procedure'!$D$133 - 360,'Intel T265'!G133-'Experimental Procedure'!$D$133))</f>
        <v>2.8272499999999998</v>
      </c>
      <c r="M133" s="91"/>
      <c r="N133" s="53" t="str">
        <f>IF('Experimental Procedure'!$E$133=0,"NaN",J133/'Experimental Procedure'!$E$133*100)</f>
        <v>NaN</v>
      </c>
      <c r="O133" s="94"/>
      <c r="P133" s="53" t="str">
        <f>IF('Experimental Procedure'!$F$133=0,"NaN",L133/'Experimental Procedure'!$F$133*100)</f>
        <v>NaN</v>
      </c>
      <c r="Q133" s="111"/>
    </row>
    <row r="134" spans="4:17" x14ac:dyDescent="0.25">
      <c r="D134" s="72" t="s">
        <v>189</v>
      </c>
      <c r="E134" s="8" t="s">
        <v>134</v>
      </c>
      <c r="F134" s="17">
        <v>6.0562440000000004</v>
      </c>
      <c r="G134" s="48">
        <v>353.59109999999998</v>
      </c>
      <c r="H134" s="86">
        <f>SQRT((F131-F134)^2+(F132-F135)^2+(F133-F136)^2)</f>
        <v>3.5637616351092909</v>
      </c>
      <c r="I134" s="89">
        <v>1.4064406735788715</v>
      </c>
      <c r="J134" s="17">
        <f>'Intel T265'!F134-'Experimental Procedure'!$C$110</f>
        <v>5.6244000000000405E-2</v>
      </c>
      <c r="K134" s="86">
        <f t="shared" ref="K134" si="36">SQRT(J134^2+J135^2+J136^2)</f>
        <v>0.45206358363066601</v>
      </c>
      <c r="L134" s="48">
        <f>IF('Intel T265'!G134-'Experimental Procedure'!$D$110&lt;-180,'Intel T265'!G134-'Experimental Procedure'!$D$110 + 360,IF('Intel T265'!G134-'Experimental Procedure'!$D$110&gt;180,'Intel T265'!G134-'Experimental Procedure'!$D$110 - 360,'Intel T265'!G134-'Experimental Procedure'!$D$110))</f>
        <v>-6.4089000000000169</v>
      </c>
      <c r="M134" s="89">
        <v>6.9685698191791241</v>
      </c>
      <c r="N134" s="51" t="str">
        <f>IF('Experimental Procedure'!$E$110=0,"NaN",J134/'Experimental Procedure'!$E$110*100)</f>
        <v>NaN</v>
      </c>
      <c r="O134" s="92">
        <f>IF('Experimental Procedure'!$G$110=0,"NaN",'Intel T265'!K134/'Experimental Procedure'!$G$110*100)</f>
        <v>11.30158959076665</v>
      </c>
      <c r="P134" s="51" t="str">
        <f>IF('Experimental Procedure'!$F$110=0,"NaN",L134/'Experimental Procedure'!$F$110*100)</f>
        <v>NaN</v>
      </c>
      <c r="Q134" s="109" t="str">
        <f>IF('Experimental Procedure'!$H$110=0,"NaN",'Intel T265'!M134/'Experimental Procedure'!$H$110*100)</f>
        <v>NaN</v>
      </c>
    </row>
    <row r="135" spans="4:17" x14ac:dyDescent="0.25">
      <c r="D135" s="73"/>
      <c r="E135" s="9" t="s">
        <v>135</v>
      </c>
      <c r="F135" s="19">
        <v>1.43963</v>
      </c>
      <c r="G135" s="49">
        <v>0.57011999999999996</v>
      </c>
      <c r="H135" s="87"/>
      <c r="I135" s="90"/>
      <c r="J135" s="19">
        <f>'Intel T265'!F135-'Experimental Procedure'!$C$111</f>
        <v>3.9630000000000054E-2</v>
      </c>
      <c r="K135" s="87"/>
      <c r="L135" s="49">
        <f>IF('Intel T265'!G135-'Experimental Procedure'!$D$111&lt;-180,'Intel T265'!G135-'Experimental Procedure'!$D$111 + 360,IF('Intel T265'!G135-'Experimental Procedure'!$D$111&gt;180,'Intel T265'!G135-'Experimental Procedure'!$D$111 - 360,'Intel T265'!G135-'Experimental Procedure'!$D$111))</f>
        <v>0.57011999999999996</v>
      </c>
      <c r="M135" s="90"/>
      <c r="N135" s="52" t="str">
        <f>IF('Experimental Procedure'!$E$111=0,"NaN",J135/'Experimental Procedure'!$E$111*100)</f>
        <v>NaN</v>
      </c>
      <c r="O135" s="93"/>
      <c r="P135" s="52" t="str">
        <f>IF('Experimental Procedure'!$F$111=0,"NaN",L135/'Experimental Procedure'!$F$111*100)</f>
        <v>NaN</v>
      </c>
      <c r="Q135" s="110"/>
    </row>
    <row r="136" spans="4:17" ht="15.75" thickBot="1" x14ac:dyDescent="0.3">
      <c r="D136" s="74"/>
      <c r="E136" s="10" t="s">
        <v>136</v>
      </c>
      <c r="F136" s="21">
        <v>3.5532029999999999</v>
      </c>
      <c r="G136" s="50">
        <v>2.6459199999999998</v>
      </c>
      <c r="H136" s="88"/>
      <c r="I136" s="91"/>
      <c r="J136" s="21">
        <f>'Intel T265'!F136-'Experimental Procedure'!$C$112</f>
        <v>-0.44679700000000011</v>
      </c>
      <c r="K136" s="88"/>
      <c r="L136" s="50">
        <f>IF('Intel T265'!G136-'Experimental Procedure'!$D$112&lt;-180,'Intel T265'!G136-'Experimental Procedure'!$D$112 + 360,IF('Intel T265'!G136-'Experimental Procedure'!$D$112&gt;180,'Intel T265'!G136-'Experimental Procedure'!$D$112 - 360,'Intel T265'!G136-'Experimental Procedure'!$D$112))</f>
        <v>2.6459199999999998</v>
      </c>
      <c r="M136" s="91"/>
      <c r="N136" s="53">
        <f>IF('Experimental Procedure'!$E$112=0,"NaN",J136/'Experimental Procedure'!$E$112*100)</f>
        <v>-11.169925000000003</v>
      </c>
      <c r="O136" s="94"/>
      <c r="P136" s="53" t="str">
        <f>IF('Experimental Procedure'!$F$112=0,"NaN",L136/'Experimental Procedure'!$F$112*100)</f>
        <v>NaN</v>
      </c>
      <c r="Q136" s="111"/>
    </row>
    <row r="137" spans="4:17" x14ac:dyDescent="0.25">
      <c r="D137" s="72" t="s">
        <v>191</v>
      </c>
      <c r="E137" s="8" t="s">
        <v>134</v>
      </c>
      <c r="F137" s="17">
        <v>6.0069970000000001</v>
      </c>
      <c r="G137" s="48">
        <v>353.2312</v>
      </c>
      <c r="H137" s="86">
        <f>SQRT((F134-F137)^2+(F135-F138)^2+(F136-F139)^2)</f>
        <v>0.14806351929830655</v>
      </c>
      <c r="I137" s="89">
        <v>90.373802781965097</v>
      </c>
      <c r="J137" s="17">
        <f>'Intel T265'!F137-'Experimental Procedure'!$C$113</f>
        <v>6.997000000000142E-3</v>
      </c>
      <c r="K137" s="86">
        <f t="shared" ref="K137" si="37">SQRT(J137^2+J138^2+J139^2)</f>
        <v>0.58512975536884115</v>
      </c>
      <c r="L137" s="48">
        <f>IF('Intel T265'!G137-'Experimental Procedure'!$D$113&lt;-180,'Intel T265'!G137-'Experimental Procedure'!$D$113 + 360,IF('Intel T265'!G137-'Experimental Procedure'!$D$113&gt;180,'Intel T265'!G137-'Experimental Procedure'!$D$113 - 360,'Intel T265'!G137-'Experimental Procedure'!$D$113))</f>
        <v>-6.7687999999999988</v>
      </c>
      <c r="M137" s="89">
        <v>7.7319047165190478</v>
      </c>
      <c r="N137" s="51" t="str">
        <f>IF('Experimental Procedure'!$E$113=0,"NaN",J137/'Experimental Procedure'!$E$113*100)</f>
        <v>NaN</v>
      </c>
      <c r="O137" s="92" t="str">
        <f>IF('Experimental Procedure'!$G$113=0,"NaN",'Intel T265'!K137/'Experimental Procedure'!$G$113*100)</f>
        <v>NaN</v>
      </c>
      <c r="P137" s="51" t="str">
        <f>IF('Experimental Procedure'!$F$113=0,"NaN",L137/'Experimental Procedure'!$F$113*100)</f>
        <v>NaN</v>
      </c>
      <c r="Q137" s="109">
        <f>IF('Experimental Procedure'!$H$113=0,"NaN",'Intel T265'!M137/'Experimental Procedure'!$H$113*100)</f>
        <v>8.5910052405767203</v>
      </c>
    </row>
    <row r="138" spans="4:17" x14ac:dyDescent="0.25">
      <c r="D138" s="73"/>
      <c r="E138" s="9" t="s">
        <v>135</v>
      </c>
      <c r="F138" s="19">
        <v>1.418353</v>
      </c>
      <c r="G138" s="49">
        <v>270.07709999999997</v>
      </c>
      <c r="H138" s="87"/>
      <c r="I138" s="90"/>
      <c r="J138" s="19">
        <f>'Intel T265'!F138-'Experimental Procedure'!$C$114</f>
        <v>1.8353000000000064E-2</v>
      </c>
      <c r="K138" s="87"/>
      <c r="L138" s="49">
        <f>IF('Intel T265'!G138-'Experimental Procedure'!$D$114&lt;-180,'Intel T265'!G138-'Experimental Procedure'!$D$114 + 360,IF('Intel T265'!G138-'Experimental Procedure'!$D$114&gt;180,'Intel T265'!G138-'Experimental Procedure'!$D$114 - 360,'Intel T265'!G138-'Experimental Procedure'!$D$114))</f>
        <v>7.7099999999973079E-2</v>
      </c>
      <c r="M138" s="90"/>
      <c r="N138" s="52" t="str">
        <f>IF('Experimental Procedure'!$E$114=0,"NaN",J138/'Experimental Procedure'!$E$114*100)</f>
        <v>NaN</v>
      </c>
      <c r="O138" s="93"/>
      <c r="P138" s="52">
        <f>IF('Experimental Procedure'!$F$114=0,"NaN",L138/'Experimental Procedure'!$F$114*100)</f>
        <v>8.5666666666636762E-2</v>
      </c>
      <c r="Q138" s="110"/>
    </row>
    <row r="139" spans="4:17" ht="15.75" thickBot="1" x14ac:dyDescent="0.3">
      <c r="D139" s="74"/>
      <c r="E139" s="10" t="s">
        <v>136</v>
      </c>
      <c r="F139" s="21">
        <v>3.4152</v>
      </c>
      <c r="G139" s="50">
        <v>3.733895</v>
      </c>
      <c r="H139" s="88"/>
      <c r="I139" s="91"/>
      <c r="J139" s="21">
        <f>'Intel T265'!F139-'Experimental Procedure'!$C$115</f>
        <v>-0.58479999999999999</v>
      </c>
      <c r="K139" s="88"/>
      <c r="L139" s="50">
        <f>IF('Intel T265'!G139-'Experimental Procedure'!$D$115&lt;-180,'Intel T265'!G139-'Experimental Procedure'!$D$115 + 360,IF('Intel T265'!G139-'Experimental Procedure'!$D$115&gt;180,'Intel T265'!G139-'Experimental Procedure'!$D$115 - 360,'Intel T265'!G139-'Experimental Procedure'!$D$115))</f>
        <v>3.733895</v>
      </c>
      <c r="M139" s="91"/>
      <c r="N139" s="53" t="str">
        <f>IF('Experimental Procedure'!$E$115=0,"NaN",J139/'Experimental Procedure'!$E$115*100)</f>
        <v>NaN</v>
      </c>
      <c r="O139" s="94"/>
      <c r="P139" s="53" t="str">
        <f>IF('Experimental Procedure'!$F$115=0,"NaN",L139/'Experimental Procedure'!$F$115*100)</f>
        <v>NaN</v>
      </c>
      <c r="Q139" s="111"/>
    </row>
    <row r="140" spans="4:17" x14ac:dyDescent="0.25">
      <c r="D140" s="72" t="s">
        <v>188</v>
      </c>
      <c r="E140" s="8" t="s">
        <v>134</v>
      </c>
      <c r="F140" s="17">
        <v>0.54839709999999997</v>
      </c>
      <c r="G140" s="48">
        <v>352.93669999999997</v>
      </c>
      <c r="H140" s="86">
        <f>SQRT((F137-F140)^2+(F138-F141)^2+(F139-F142)^2)</f>
        <v>5.4600636607851021</v>
      </c>
      <c r="I140" s="89">
        <v>0.78590672993655819</v>
      </c>
      <c r="J140" s="17">
        <f>'Intel T265'!F140-'Experimental Procedure'!$C$116</f>
        <v>0.54839709999999997</v>
      </c>
      <c r="K140" s="86">
        <f t="shared" ref="K140" si="38">SQRT(J140^2+J141^2+J142^2)</f>
        <v>0.7683275712047628</v>
      </c>
      <c r="L140" s="48">
        <f>IF('Intel T265'!G140-'Experimental Procedure'!$D$116&lt;-180,'Intel T265'!G140-'Experimental Procedure'!$D$116 + 360,IF('Intel T265'!G140-'Experimental Procedure'!$D$116&gt;180,'Intel T265'!G140-'Experimental Procedure'!$D$116 - 360,'Intel T265'!G140-'Experimental Procedure'!$D$116))</f>
        <v>-7.0633000000000266</v>
      </c>
      <c r="M140" s="89">
        <v>7.800490157805207</v>
      </c>
      <c r="N140" s="51">
        <f>IF('Experimental Procedure'!$E$116=0,"NaN",J140/'Experimental Procedure'!$E$116*100)</f>
        <v>9.1399516666666667</v>
      </c>
      <c r="O140" s="92">
        <f>IF('Experimental Procedure'!$G$116=0,"NaN",'Intel T265'!K140/'Experimental Procedure'!$G$116*100)</f>
        <v>12.805459520079379</v>
      </c>
      <c r="P140" s="51" t="str">
        <f>IF('Experimental Procedure'!$F$116=0,"NaN",L140/'Experimental Procedure'!$F$116*100)</f>
        <v>NaN</v>
      </c>
      <c r="Q140" s="109" t="str">
        <f>IF('Experimental Procedure'!$H$116=0,"NaN",'Intel T265'!M140/'Experimental Procedure'!$H$116*100)</f>
        <v>NaN</v>
      </c>
    </row>
    <row r="141" spans="4:17" x14ac:dyDescent="0.25">
      <c r="D141" s="73"/>
      <c r="E141" s="9" t="s">
        <v>135</v>
      </c>
      <c r="F141" s="19">
        <v>1.528408</v>
      </c>
      <c r="G141" s="49">
        <v>270.649</v>
      </c>
      <c r="H141" s="87"/>
      <c r="I141" s="90"/>
      <c r="J141" s="19">
        <f>'Intel T265'!F141-'Experimental Procedure'!$C$117</f>
        <v>0.12840800000000008</v>
      </c>
      <c r="K141" s="87"/>
      <c r="L141" s="49">
        <f>IF('Intel T265'!G141-'Experimental Procedure'!$D$117&lt;-180,'Intel T265'!G141-'Experimental Procedure'!$D$117 + 360,IF('Intel T265'!G141-'Experimental Procedure'!$D$117&gt;180,'Intel T265'!G141-'Experimental Procedure'!$D$117 - 360,'Intel T265'!G141-'Experimental Procedure'!$D$117))</f>
        <v>0.64900000000000091</v>
      </c>
      <c r="M141" s="90"/>
      <c r="N141" s="52" t="str">
        <f>IF('Experimental Procedure'!$E$117=0,"NaN",J141/'Experimental Procedure'!$E$117*100)</f>
        <v>NaN</v>
      </c>
      <c r="O141" s="93"/>
      <c r="P141" s="52" t="str">
        <f>IF('Experimental Procedure'!$F$117=0,"NaN",L141/'Experimental Procedure'!$F$117*100)</f>
        <v>NaN</v>
      </c>
      <c r="Q141" s="110"/>
    </row>
    <row r="142" spans="4:17" ht="15.75" thickBot="1" x14ac:dyDescent="0.3">
      <c r="D142" s="74"/>
      <c r="E142" s="10" t="s">
        <v>136</v>
      </c>
      <c r="F142" s="21">
        <v>3.477411</v>
      </c>
      <c r="G142" s="50">
        <v>3.208307</v>
      </c>
      <c r="H142" s="88"/>
      <c r="I142" s="91"/>
      <c r="J142" s="21">
        <f>'Intel T265'!F142-'Experimental Procedure'!$C$118</f>
        <v>-0.52258899999999997</v>
      </c>
      <c r="K142" s="88"/>
      <c r="L142" s="50">
        <f>IF('Intel T265'!G142-'Experimental Procedure'!$D$118&lt;-180,'Intel T265'!G142-'Experimental Procedure'!$D$118 + 360,IF('Intel T265'!G142-'Experimental Procedure'!$D$118&gt;180,'Intel T265'!G142-'Experimental Procedure'!$D$118 - 360,'Intel T265'!G142-'Experimental Procedure'!$D$118))</f>
        <v>3.208307</v>
      </c>
      <c r="M142" s="91"/>
      <c r="N142" s="53" t="str">
        <f>IF('Experimental Procedure'!$E$118=0,"NaN",J142/'Experimental Procedure'!$E$118*100)</f>
        <v>NaN</v>
      </c>
      <c r="O142" s="94"/>
      <c r="P142" s="53" t="str">
        <f>IF('Experimental Procedure'!$F$118=0,"NaN",L142/'Experimental Procedure'!$F$118*100)</f>
        <v>NaN</v>
      </c>
      <c r="Q142" s="111"/>
    </row>
    <row r="143" spans="4:17" x14ac:dyDescent="0.25">
      <c r="D143" s="72" t="s">
        <v>191</v>
      </c>
      <c r="E143" s="8" t="s">
        <v>134</v>
      </c>
      <c r="F143" s="17">
        <v>0.67189980000000005</v>
      </c>
      <c r="G143" s="48">
        <v>352.8698</v>
      </c>
      <c r="H143" s="86">
        <f>SQRT((F140-F143)^2+(F141-F144)^2+(F142-F145)^2)</f>
        <v>0.17151832498975161</v>
      </c>
      <c r="I143" s="89">
        <v>90.377170910737533</v>
      </c>
      <c r="J143" s="17">
        <f>'Intel T265'!F143-'Experimental Procedure'!$C$119</f>
        <v>0.67189980000000005</v>
      </c>
      <c r="K143" s="86">
        <f t="shared" ref="K143" si="39">SQRT(J143^2+J144^2+J145^2)</f>
        <v>0.92713649266385811</v>
      </c>
      <c r="L143" s="48">
        <f>IF('Intel T265'!G143-'Experimental Procedure'!$D$119&lt;-180,'Intel T265'!G143-'Experimental Procedure'!$D$119 + 360,IF('Intel T265'!G143-'Experimental Procedure'!$D$119&gt;180,'Intel T265'!G143-'Experimental Procedure'!$D$119 - 360,'Intel T265'!G143-'Experimental Procedure'!$D$119))</f>
        <v>-7.1302000000000021</v>
      </c>
      <c r="M143" s="89">
        <v>8.1970152140847414</v>
      </c>
      <c r="N143" s="51" t="str">
        <f>IF('Experimental Procedure'!$E$119=0,"NaN",J143/'Experimental Procedure'!$E$119*100)</f>
        <v>NaN</v>
      </c>
      <c r="O143" s="92" t="str">
        <f>IF('Experimental Procedure'!$G$119=0,"NaN",'Intel T265'!K143/'Experimental Procedure'!$G$119*100)</f>
        <v>NaN</v>
      </c>
      <c r="P143" s="51" t="str">
        <f>IF('Experimental Procedure'!$F$119=0,"NaN",L143/'Experimental Procedure'!$F$119*100)</f>
        <v>NaN</v>
      </c>
      <c r="Q143" s="109">
        <f>IF('Experimental Procedure'!$H$119=0,"NaN",'Intel T265'!M143/'Experimental Procedure'!$H$119*100)</f>
        <v>9.1077946823163813</v>
      </c>
    </row>
    <row r="144" spans="4:17" x14ac:dyDescent="0.25">
      <c r="D144" s="73"/>
      <c r="E144" s="9" t="s">
        <v>135</v>
      </c>
      <c r="F144" s="19">
        <v>1.48455</v>
      </c>
      <c r="G144" s="49">
        <v>180.173</v>
      </c>
      <c r="H144" s="87"/>
      <c r="I144" s="90"/>
      <c r="J144" s="19">
        <f>'Intel T265'!F144-'Experimental Procedure'!$C$120</f>
        <v>8.4550000000000125E-2</v>
      </c>
      <c r="K144" s="87"/>
      <c r="L144" s="49">
        <f>IF('Intel T265'!G144-'Experimental Procedure'!$D$120&lt;-180,'Intel T265'!G144-'Experimental Procedure'!$D$120 + 360,IF('Intel T265'!G144-'Experimental Procedure'!$D$120&gt;180,'Intel T265'!G144-'Experimental Procedure'!$D$120 - 360,'Intel T265'!G144-'Experimental Procedure'!$D$120))</f>
        <v>0.17300000000000182</v>
      </c>
      <c r="M144" s="90"/>
      <c r="N144" s="52" t="str">
        <f>IF('Experimental Procedure'!$E$120=0,"NaN",J144/'Experimental Procedure'!$E$120*100)</f>
        <v>NaN</v>
      </c>
      <c r="O144" s="93"/>
      <c r="P144" s="52">
        <f>IF('Experimental Procedure'!$F$120=0,"NaN",L144/'Experimental Procedure'!$F$120*100)</f>
        <v>0.19222222222222424</v>
      </c>
      <c r="Q144" s="110"/>
    </row>
    <row r="145" spans="4:17" ht="15.75" thickBot="1" x14ac:dyDescent="0.3">
      <c r="D145" s="74"/>
      <c r="E145" s="10" t="s">
        <v>136</v>
      </c>
      <c r="F145" s="21">
        <v>3.3667669999999998</v>
      </c>
      <c r="G145" s="50">
        <v>4.0318250000000004</v>
      </c>
      <c r="H145" s="88"/>
      <c r="I145" s="91"/>
      <c r="J145" s="21">
        <f>'Intel T265'!F145-'Experimental Procedure'!$C$121</f>
        <v>-0.63323300000000016</v>
      </c>
      <c r="K145" s="88"/>
      <c r="L145" s="50">
        <f>IF('Intel T265'!G145-'Experimental Procedure'!$D$121&lt;-180,'Intel T265'!G145-'Experimental Procedure'!$D$121 + 360,IF('Intel T265'!G145-'Experimental Procedure'!$D$121&gt;180,'Intel T265'!G145-'Experimental Procedure'!$D$121 - 360,'Intel T265'!G145-'Experimental Procedure'!$D$121))</f>
        <v>4.0318250000000004</v>
      </c>
      <c r="M145" s="91"/>
      <c r="N145" s="53" t="str">
        <f>IF('Experimental Procedure'!$E$121=0,"NaN",J145/'Experimental Procedure'!$E$121*100)</f>
        <v>NaN</v>
      </c>
      <c r="O145" s="94"/>
      <c r="P145" s="53" t="str">
        <f>IF('Experimental Procedure'!$F$121=0,"NaN",L145/'Experimental Procedure'!$F$121*100)</f>
        <v>NaN</v>
      </c>
      <c r="Q145" s="111"/>
    </row>
    <row r="146" spans="4:17" x14ac:dyDescent="0.25">
      <c r="D146" s="72" t="s">
        <v>190</v>
      </c>
      <c r="E146" s="8" t="s">
        <v>134</v>
      </c>
      <c r="F146" s="17">
        <v>0.55408570000000001</v>
      </c>
      <c r="G146" s="48">
        <v>354.72739999999999</v>
      </c>
      <c r="H146" s="86">
        <f>SQRT((F143-F146)^2+(F144-F147)^2+(F145-F148)^2)</f>
        <v>3.6726803852696968</v>
      </c>
      <c r="I146" s="89">
        <v>2.5419671198628278</v>
      </c>
      <c r="J146" s="17">
        <f>'Intel T265'!F146-'Experimental Procedure'!$C$122</f>
        <v>0.55408570000000001</v>
      </c>
      <c r="K146" s="86">
        <f t="shared" ref="K146" si="40">SQRT(J146^2+J147^2+J148^2)</f>
        <v>0.63875842886951406</v>
      </c>
      <c r="L146" s="48">
        <f>IF('Intel T265'!G146-'Experimental Procedure'!$D$122&lt;-180,'Intel T265'!G146-'Experimental Procedure'!$D$122 + 360,IF('Intel T265'!G146-'Experimental Procedure'!$D$122&gt;180,'Intel T265'!G146-'Experimental Procedure'!$D$122 - 360,'Intel T265'!G146-'Experimental Procedure'!$D$122))</f>
        <v>-5.2726000000000113</v>
      </c>
      <c r="M146" s="89">
        <v>6.0792590125578725</v>
      </c>
      <c r="N146" s="51" t="str">
        <f>IF('Experimental Procedure'!$E$122=0,"NaN",J146/'Experimental Procedure'!$E$122*100)</f>
        <v>NaN</v>
      </c>
      <c r="O146" s="92">
        <f>IF('Experimental Procedure'!$G$122=0,"NaN",'Intel T265'!K146/'Experimental Procedure'!$G$122*100)</f>
        <v>15.968960721737851</v>
      </c>
      <c r="P146" s="51" t="str">
        <f>IF('Experimental Procedure'!$F$122=0,"NaN",L146/'Experimental Procedure'!$F$122*100)</f>
        <v>NaN</v>
      </c>
      <c r="Q146" s="109" t="str">
        <f>IF('Experimental Procedure'!$H$122=0,"NaN",'Intel T265'!M146/'Experimental Procedure'!$H$122*100)</f>
        <v>NaN</v>
      </c>
    </row>
    <row r="147" spans="4:17" x14ac:dyDescent="0.25">
      <c r="D147" s="73"/>
      <c r="E147" s="9" t="s">
        <v>135</v>
      </c>
      <c r="F147" s="19">
        <v>1.49261</v>
      </c>
      <c r="G147" s="49">
        <v>178.97739999999999</v>
      </c>
      <c r="H147" s="87"/>
      <c r="I147" s="90"/>
      <c r="J147" s="19">
        <f>'Intel T265'!F147-'Experimental Procedure'!$C$123</f>
        <v>9.2610000000000081E-2</v>
      </c>
      <c r="K147" s="87"/>
      <c r="L147" s="49">
        <f>IF('Intel T265'!G147-'Experimental Procedure'!$D$123&lt;-180,'Intel T265'!G147-'Experimental Procedure'!$D$123 + 360,IF('Intel T265'!G147-'Experimental Procedure'!$D$123&gt;180,'Intel T265'!G147-'Experimental Procedure'!$D$123 - 360,'Intel T265'!G147-'Experimental Procedure'!$D$123))</f>
        <v>-1.0226000000000113</v>
      </c>
      <c r="M147" s="90"/>
      <c r="N147" s="52" t="str">
        <f>IF('Experimental Procedure'!$E$123=0,"NaN",J147/'Experimental Procedure'!$E$123*100)</f>
        <v>NaN</v>
      </c>
      <c r="O147" s="93"/>
      <c r="P147" s="52" t="str">
        <f>IF('Experimental Procedure'!$F$123=0,"NaN",L147/'Experimental Procedure'!$F$123*100)</f>
        <v>NaN</v>
      </c>
      <c r="Q147" s="110"/>
    </row>
    <row r="148" spans="4:17" ht="15.75" thickBot="1" x14ac:dyDescent="0.3">
      <c r="D148" s="74"/>
      <c r="E148" s="10" t="s">
        <v>136</v>
      </c>
      <c r="F148" s="21">
        <v>-0.30401440000000002</v>
      </c>
      <c r="G148" s="50">
        <v>2.8966949999999998</v>
      </c>
      <c r="H148" s="88"/>
      <c r="I148" s="91"/>
      <c r="J148" s="21">
        <f>'Intel T265'!F148-'Experimental Procedure'!$C$124</f>
        <v>-0.30401440000000002</v>
      </c>
      <c r="K148" s="88"/>
      <c r="L148" s="50">
        <f>IF('Intel T265'!G148-'Experimental Procedure'!$D$124&lt;-180,'Intel T265'!G148-'Experimental Procedure'!$D$124 + 360,IF('Intel T265'!G148-'Experimental Procedure'!$D$124&gt;180,'Intel T265'!G148-'Experimental Procedure'!$D$124 - 360,'Intel T265'!G148-'Experimental Procedure'!$D$124))</f>
        <v>2.8966949999999998</v>
      </c>
      <c r="M148" s="91"/>
      <c r="N148" s="53">
        <f>IF('Experimental Procedure'!$E$124=0,"NaN",J148/'Experimental Procedure'!$E$124*100)</f>
        <v>-7.6003600000000002</v>
      </c>
      <c r="O148" s="94"/>
      <c r="P148" s="53" t="str">
        <f>IF('Experimental Procedure'!$F$124=0,"NaN",L148/'Experimental Procedure'!$F$124*100)</f>
        <v>NaN</v>
      </c>
      <c r="Q148" s="111"/>
    </row>
    <row r="149" spans="4:17" x14ac:dyDescent="0.25">
      <c r="D149" s="72" t="s">
        <v>191</v>
      </c>
      <c r="E149" s="8" t="s">
        <v>134</v>
      </c>
      <c r="F149" s="17">
        <v>0.40552470000000002</v>
      </c>
      <c r="G149" s="48">
        <v>353.39929999999998</v>
      </c>
      <c r="H149" s="86">
        <f>SQRT((F146-F149)^2+(F147-F150)^2+(F148-F151)^2)</f>
        <v>0.4161252205737595</v>
      </c>
      <c r="I149" s="89">
        <v>89.311329983421558</v>
      </c>
      <c r="J149" s="17">
        <f>'Intel T265'!F149-'Experimental Procedure'!$C$125</f>
        <v>0.40552470000000002</v>
      </c>
      <c r="K149" s="86">
        <f t="shared" ref="K149" si="41">SQRT(J149^2+J150^2+J151^2)</f>
        <v>0.41445395078354602</v>
      </c>
      <c r="L149" s="48">
        <f>IF('Intel T265'!G149-'Experimental Procedure'!$D$125&lt;-180,'Intel T265'!G149-'Experimental Procedure'!$D$125 + 360,IF('Intel T265'!G149-'Experimental Procedure'!$D$125&gt;180,'Intel T265'!G149-'Experimental Procedure'!$D$125 - 360,'Intel T265'!G149-'Experimental Procedure'!$D$125))</f>
        <v>-6.6007000000000176</v>
      </c>
      <c r="M149" s="89">
        <v>7.0497398368158501</v>
      </c>
      <c r="N149" s="51" t="str">
        <f>IF('Experimental Procedure'!$E$125=0,"NaN",J149/'Experimental Procedure'!$E$125*100)</f>
        <v>NaN</v>
      </c>
      <c r="O149" s="92" t="str">
        <f>IF('Experimental Procedure'!$G$125=0,"NaN",'Intel T265'!K149/'Experimental Procedure'!$G$125*100)</f>
        <v>NaN</v>
      </c>
      <c r="P149" s="51" t="str">
        <f>IF('Experimental Procedure'!$F$125=0,"NaN",L149/'Experimental Procedure'!$F$125*100)</f>
        <v>NaN</v>
      </c>
      <c r="Q149" s="109">
        <f>IF('Experimental Procedure'!$H$125=0,"NaN",'Intel T265'!M149/'Experimental Procedure'!$H$125*100)</f>
        <v>7.8330442631287216</v>
      </c>
    </row>
    <row r="150" spans="4:17" x14ac:dyDescent="0.25">
      <c r="D150" s="73"/>
      <c r="E150" s="9" t="s">
        <v>135</v>
      </c>
      <c r="F150" s="19">
        <v>1.329823</v>
      </c>
      <c r="G150" s="49">
        <v>89.718000000000004</v>
      </c>
      <c r="H150" s="87"/>
      <c r="I150" s="90"/>
      <c r="J150" s="19">
        <f>'Intel T265'!F150-'Experimental Procedure'!$C$126</f>
        <v>-7.0176999999999934E-2</v>
      </c>
      <c r="K150" s="87"/>
      <c r="L150" s="49">
        <f>IF('Intel T265'!G150-'Experimental Procedure'!$D$126&lt;-180,'Intel T265'!G150-'Experimental Procedure'!$D$126 + 360,IF('Intel T265'!G150-'Experimental Procedure'!$D$126&gt;180,'Intel T265'!G150-'Experimental Procedure'!$D$126 - 360,'Intel T265'!G150-'Experimental Procedure'!$D$126))</f>
        <v>-0.28199999999999648</v>
      </c>
      <c r="M150" s="90"/>
      <c r="N150" s="52" t="str">
        <f>IF('Experimental Procedure'!$E$126=0,"NaN",J150/'Experimental Procedure'!$E$126*100)</f>
        <v>NaN</v>
      </c>
      <c r="O150" s="93"/>
      <c r="P150" s="52">
        <f>IF('Experimental Procedure'!$F$126=0,"NaN",L150/'Experimental Procedure'!$F$126*100)</f>
        <v>-0.31333333333332941</v>
      </c>
      <c r="Q150" s="110"/>
    </row>
    <row r="151" spans="4:17" ht="15.75" thickBot="1" x14ac:dyDescent="0.3">
      <c r="D151" s="74"/>
      <c r="E151" s="10" t="s">
        <v>136</v>
      </c>
      <c r="F151" s="21">
        <v>4.8959000000000003E-2</v>
      </c>
      <c r="G151" s="50">
        <v>2.4773860000000001</v>
      </c>
      <c r="H151" s="88"/>
      <c r="I151" s="91"/>
      <c r="J151" s="21">
        <f>'Intel T265'!F151-'Experimental Procedure'!$C$127</f>
        <v>4.8959000000000003E-2</v>
      </c>
      <c r="K151" s="88"/>
      <c r="L151" s="50">
        <f>IF('Intel T265'!G151-'Experimental Procedure'!$D$127&lt;-180,'Intel T265'!G151-'Experimental Procedure'!$D$127 + 360,IF('Intel T265'!G151-'Experimental Procedure'!$D$127&gt;180,'Intel T265'!G151-'Experimental Procedure'!$D$127 - 360,'Intel T265'!G151-'Experimental Procedure'!$D$127))</f>
        <v>2.4773860000000001</v>
      </c>
      <c r="M151" s="91"/>
      <c r="N151" s="53" t="str">
        <f>IF('Experimental Procedure'!$E$127=0,"NaN",J151/'Experimental Procedure'!$E$127*100)</f>
        <v>NaN</v>
      </c>
      <c r="O151" s="94"/>
      <c r="P151" s="53" t="str">
        <f>IF('Experimental Procedure'!$F$127=0,"NaN",L151/'Experimental Procedure'!$F$127*100)</f>
        <v>NaN</v>
      </c>
      <c r="Q151" s="111"/>
    </row>
    <row r="152" spans="4:17" x14ac:dyDescent="0.25">
      <c r="D152" s="72" t="s">
        <v>180</v>
      </c>
      <c r="E152" s="8" t="s">
        <v>134</v>
      </c>
      <c r="F152" s="17">
        <v>6.0925000000000002</v>
      </c>
      <c r="G152" s="48">
        <v>355.81319999999999</v>
      </c>
      <c r="H152" s="86">
        <f>SQRT((F149-F152)^2+(F150-F153)^2+(F151-F154)^2)</f>
        <v>5.6903387181906924</v>
      </c>
      <c r="I152" s="89">
        <v>3.4481365284707604</v>
      </c>
      <c r="J152" s="17">
        <f>'Intel T265'!F152-'Experimental Procedure'!$C$128</f>
        <v>9.2500000000000249E-2</v>
      </c>
      <c r="K152" s="86">
        <f t="shared" ref="K152" si="42">SQRT(J152^2+J153^2+J154^2)</f>
        <v>0.16464109936464846</v>
      </c>
      <c r="L152" s="48">
        <f>IF('Intel T265'!G152-'Experimental Procedure'!$D$128&lt;-180,'Intel T265'!G152-'Experimental Procedure'!$D$128 + 360,IF('Intel T265'!G152-'Experimental Procedure'!$D$128&gt;180,'Intel T265'!G152-'Experimental Procedure'!$D$128 - 360,'Intel T265'!G152-'Experimental Procedure'!$D$128))</f>
        <v>-4.1868000000000052</v>
      </c>
      <c r="M152" s="89">
        <v>4.8131079460543882</v>
      </c>
      <c r="N152" s="51">
        <f>IF('Experimental Procedure'!$E$128=0,"NaN",J152/'Experimental Procedure'!$E$128*100)</f>
        <v>1.541666666666671</v>
      </c>
      <c r="O152" s="92">
        <f>IF('Experimental Procedure'!$G$128=0,"NaN",'Intel T265'!K152/'Experimental Procedure'!$G$128*100)</f>
        <v>2.7440183227441408</v>
      </c>
      <c r="P152" s="51" t="str">
        <f>IF('Experimental Procedure'!$F$128=0,"NaN",L152/'Experimental Procedure'!$F$128*100)</f>
        <v>NaN</v>
      </c>
      <c r="Q152" s="109" t="str">
        <f>IF('Experimental Procedure'!$H$128=0,"NaN",'Intel T265'!M152/'Experimental Procedure'!$H$128*100)</f>
        <v>NaN</v>
      </c>
    </row>
    <row r="153" spans="4:17" x14ac:dyDescent="0.25">
      <c r="D153" s="73"/>
      <c r="E153" s="9" t="s">
        <v>135</v>
      </c>
      <c r="F153" s="19">
        <v>1.3934</v>
      </c>
      <c r="G153" s="49">
        <v>91.97242</v>
      </c>
      <c r="H153" s="87"/>
      <c r="I153" s="90"/>
      <c r="J153" s="19">
        <f>'Intel T265'!F153-'Experimental Procedure'!$C$129</f>
        <v>-6.5999999999999392E-3</v>
      </c>
      <c r="K153" s="87"/>
      <c r="L153" s="49">
        <f>IF('Intel T265'!G153-'Experimental Procedure'!$D$129&lt;-180,'Intel T265'!G153-'Experimental Procedure'!$D$129 + 360,IF('Intel T265'!G153-'Experimental Procedure'!$D$129&gt;180,'Intel T265'!G153-'Experimental Procedure'!$D$129 - 360,'Intel T265'!G153-'Experimental Procedure'!$D$129))</f>
        <v>1.9724199999999996</v>
      </c>
      <c r="M153" s="90"/>
      <c r="N153" s="52" t="str">
        <f>IF('Experimental Procedure'!$E$129=0,"NaN",J153/'Experimental Procedure'!$E$129*100)</f>
        <v>NaN</v>
      </c>
      <c r="O153" s="93"/>
      <c r="P153" s="52" t="str">
        <f>IF('Experimental Procedure'!$F$129=0,"NaN",L153/'Experimental Procedure'!$F$129*100)</f>
        <v>NaN</v>
      </c>
      <c r="Q153" s="110"/>
    </row>
    <row r="154" spans="4:17" ht="15.75" thickBot="1" x14ac:dyDescent="0.3">
      <c r="D154" s="74"/>
      <c r="E154" s="10" t="s">
        <v>136</v>
      </c>
      <c r="F154" s="21">
        <v>-0.13603999999999999</v>
      </c>
      <c r="G154" s="50">
        <v>1.25234</v>
      </c>
      <c r="H154" s="88"/>
      <c r="I154" s="91"/>
      <c r="J154" s="21">
        <f>'Intel T265'!F154-'Experimental Procedure'!$C$130</f>
        <v>-0.13603999999999999</v>
      </c>
      <c r="K154" s="88"/>
      <c r="L154" s="50">
        <f>IF('Intel T265'!G154-'Experimental Procedure'!$D$130&lt;-180,'Intel T265'!G154-'Experimental Procedure'!$D$130 + 360,IF('Intel T265'!G154-'Experimental Procedure'!$D$130&gt;180,'Intel T265'!G154-'Experimental Procedure'!$D$130 - 360,'Intel T265'!G154-'Experimental Procedure'!$D$130))</f>
        <v>1.25234</v>
      </c>
      <c r="M154" s="91"/>
      <c r="N154" s="53" t="str">
        <f>IF('Experimental Procedure'!$E$130=0,"NaN",J154/'Experimental Procedure'!$E$130*100)</f>
        <v>NaN</v>
      </c>
      <c r="O154" s="94"/>
      <c r="P154" s="53" t="str">
        <f>IF('Experimental Procedure'!$F$130=0,"NaN",L154/'Experimental Procedure'!$F$130*100)</f>
        <v>NaN</v>
      </c>
      <c r="Q154" s="111"/>
    </row>
    <row r="155" spans="4:17" x14ac:dyDescent="0.25">
      <c r="D155" s="83" t="s">
        <v>192</v>
      </c>
      <c r="E155" s="8" t="s">
        <v>134</v>
      </c>
      <c r="F155" s="17">
        <v>5.9743000000000004</v>
      </c>
      <c r="G155" s="48">
        <v>351.40010000000001</v>
      </c>
      <c r="H155" s="86">
        <f>SQRT((F152-F155)^2+(F153-F156)^2+(F154-F157)^2)</f>
        <v>0.18064006338572838</v>
      </c>
      <c r="I155" s="89">
        <v>89.047670423977394</v>
      </c>
      <c r="J155" s="17">
        <f>'Intel T265'!F155-'Experimental Procedure'!$C$131</f>
        <v>-2.5699999999999612E-2</v>
      </c>
      <c r="K155" s="86">
        <f t="shared" ref="K155" si="43">SQRT(J155^2+J156^2+J157^2)</f>
        <v>2.7691877870595551E-2</v>
      </c>
      <c r="L155" s="48">
        <f>IF('Intel T265'!G155-'Experimental Procedure'!$D$131&lt;-180,'Intel T265'!G155-'Experimental Procedure'!$D$131 + 360,IF('Intel T265'!G155-'Experimental Procedure'!$D$131&gt;180,'Intel T265'!G155-'Experimental Procedure'!$D$131 - 360,'Intel T265'!G155-'Experimental Procedure'!$D$131))</f>
        <v>-8.599899999999991</v>
      </c>
      <c r="M155" s="89">
        <v>9.163461929327072</v>
      </c>
      <c r="N155" s="51" t="str">
        <f>IF('Experimental Procedure'!$E$131=0,"NaN",J155/'Experimental Procedure'!$E$131*100)</f>
        <v>NaN</v>
      </c>
      <c r="O155" s="92" t="str">
        <f>IF('Experimental Procedure'!$G$131=0,"NaN",'Intel T265'!K155/'Experimental Procedure'!$G$131*100)</f>
        <v>NaN</v>
      </c>
      <c r="P155" s="51" t="str">
        <f>IF('Experimental Procedure'!$F$131=0,"NaN",L155/'Experimental Procedure'!$F$131*100)</f>
        <v>NaN</v>
      </c>
      <c r="Q155" s="109">
        <f>IF('Experimental Procedure'!$H$131=0,"NaN",'Intel T265'!M155/'Experimental Procedure'!$H$131*100)</f>
        <v>10.181624365918971</v>
      </c>
    </row>
    <row r="156" spans="4:17" x14ac:dyDescent="0.25">
      <c r="D156" s="84"/>
      <c r="E156" s="9" t="s">
        <v>135</v>
      </c>
      <c r="F156" s="19">
        <v>1.3896999999999999</v>
      </c>
      <c r="G156" s="49">
        <v>3.1063329999999998</v>
      </c>
      <c r="H156" s="87"/>
      <c r="I156" s="90"/>
      <c r="J156" s="19">
        <f>'Intel T265'!F156-'Experimental Procedure'!$C$132</f>
        <v>-1.0299999999999976E-2</v>
      </c>
      <c r="K156" s="87"/>
      <c r="L156" s="49">
        <f>IF('Intel T265'!G156-'Experimental Procedure'!$D$132&lt;-180,'Intel T265'!G156-'Experimental Procedure'!$D$132 + 360,IF('Intel T265'!G156-'Experimental Procedure'!$D$132&gt;180,'Intel T265'!G156-'Experimental Procedure'!$D$132 - 360,'Intel T265'!G156-'Experimental Procedure'!$D$132))</f>
        <v>3.1063329999999998</v>
      </c>
      <c r="M156" s="90"/>
      <c r="N156" s="52" t="str">
        <f>IF('Experimental Procedure'!$E$132=0,"NaN",J156/'Experimental Procedure'!$E$132*100)</f>
        <v>NaN</v>
      </c>
      <c r="O156" s="93"/>
      <c r="P156" s="52">
        <f>IF('Experimental Procedure'!$F$132=0,"NaN",L156/'Experimental Procedure'!$F$132*100)</f>
        <v>3.4514811111111108</v>
      </c>
      <c r="Q156" s="110"/>
    </row>
    <row r="157" spans="4:17" ht="15.75" thickBot="1" x14ac:dyDescent="0.3">
      <c r="D157" s="85"/>
      <c r="E157" s="10" t="s">
        <v>136</v>
      </c>
      <c r="F157" s="21">
        <v>5.1000000000000004E-4</v>
      </c>
      <c r="G157" s="50">
        <v>0.42589349999999998</v>
      </c>
      <c r="H157" s="88"/>
      <c r="I157" s="91"/>
      <c r="J157" s="21">
        <f>'Intel T265'!F157-'Experimental Procedure'!$C$133</f>
        <v>5.1000000000000004E-4</v>
      </c>
      <c r="K157" s="88"/>
      <c r="L157" s="50">
        <f>IF('Intel T265'!G157-'Experimental Procedure'!$D$133&lt;-180,'Intel T265'!G157-'Experimental Procedure'!$D$133 + 360,IF('Intel T265'!G157-'Experimental Procedure'!$D$133&gt;180,'Intel T265'!G157-'Experimental Procedure'!$D$133 - 360,'Intel T265'!G157-'Experimental Procedure'!$D$133))</f>
        <v>0.42589349999999998</v>
      </c>
      <c r="M157" s="91"/>
      <c r="N157" s="53" t="str">
        <f>IF('Experimental Procedure'!$E$133=0,"NaN",J157/'Experimental Procedure'!$E$133*100)</f>
        <v>NaN</v>
      </c>
      <c r="O157" s="94"/>
      <c r="P157" s="53" t="str">
        <f>IF('Experimental Procedure'!$F$133=0,"NaN",L157/'Experimental Procedure'!$F$133*100)</f>
        <v>NaN</v>
      </c>
      <c r="Q157" s="111"/>
    </row>
    <row r="158" spans="4:17" ht="15.75" thickBot="1" x14ac:dyDescent="0.3">
      <c r="D158" s="29" t="s">
        <v>148</v>
      </c>
      <c r="E158" s="29"/>
      <c r="F158" s="29"/>
      <c r="G158" s="43"/>
      <c r="H158" s="43"/>
      <c r="I158" s="66"/>
      <c r="J158" s="43"/>
      <c r="K158" s="43"/>
      <c r="L158" s="43"/>
      <c r="M158" s="43"/>
      <c r="N158" s="43"/>
      <c r="O158" s="43"/>
      <c r="P158" s="43"/>
      <c r="Q158" s="43"/>
    </row>
    <row r="159" spans="4:17" ht="15.75" thickBot="1" x14ac:dyDescent="0.3">
      <c r="D159" s="75" t="s">
        <v>177</v>
      </c>
      <c r="E159" s="76"/>
      <c r="F159" s="16" t="s">
        <v>137</v>
      </c>
      <c r="G159" s="23" t="s">
        <v>197</v>
      </c>
      <c r="H159" s="16" t="s">
        <v>178</v>
      </c>
      <c r="I159" s="65" t="s">
        <v>179</v>
      </c>
      <c r="J159" s="16" t="s">
        <v>143</v>
      </c>
      <c r="K159" s="34" t="s">
        <v>168</v>
      </c>
      <c r="L159" s="23" t="s">
        <v>144</v>
      </c>
      <c r="M159" s="12" t="s">
        <v>167</v>
      </c>
      <c r="N159" s="16" t="s">
        <v>141</v>
      </c>
      <c r="O159" s="16" t="s">
        <v>171</v>
      </c>
      <c r="P159" s="23" t="s">
        <v>142</v>
      </c>
      <c r="Q159" s="23" t="s">
        <v>172</v>
      </c>
    </row>
    <row r="160" spans="4:17" x14ac:dyDescent="0.25">
      <c r="D160" s="72" t="s">
        <v>180</v>
      </c>
      <c r="E160" s="35" t="s">
        <v>134</v>
      </c>
      <c r="F160" s="18">
        <v>6</v>
      </c>
      <c r="G160" s="45">
        <v>358.50979999999998</v>
      </c>
      <c r="H160" s="86">
        <v>0</v>
      </c>
      <c r="I160" s="89">
        <v>0</v>
      </c>
      <c r="J160" s="17">
        <f>'Intel T265'!F160-'Experimental Procedure'!$C$107</f>
        <v>0</v>
      </c>
      <c r="K160" s="95">
        <f>SQRT(J160^2+J161^2+J162^2)</f>
        <v>8.0721744282453848E-4</v>
      </c>
      <c r="L160" s="48">
        <f>IF('Intel T265'!G160-'Experimental Procedure'!$D$107&lt;-180,'Intel T265'!G160-'Experimental Procedure'!$D$107 + 360,IF('Intel T265'!G160-'Experimental Procedure'!$D$107&gt;180,'Intel T265'!G160-'Experimental Procedure'!$D$107 - 360,'Intel T265'!G160-'Experimental Procedure'!$D$107))</f>
        <v>-1.4902000000000157</v>
      </c>
      <c r="M160" s="106">
        <v>1.7438447233230967</v>
      </c>
      <c r="N160" s="51" t="str">
        <f>IF('Experimental Procedure'!$E$107=0,"NaN",J160/'Experimental Procedure'!$E$107*100)</f>
        <v>NaN</v>
      </c>
      <c r="O160" s="92" t="str">
        <f>IF('Experimental Procedure'!$G$107=0,"NaN",'Intel T265'!K160/'Experimental Procedure'!$G$107*100)</f>
        <v>NaN</v>
      </c>
      <c r="P160" s="51" t="str">
        <f>IF('Experimental Procedure'!$F$107=0,"NaN",L160/'Experimental Procedure'!$F$107*100)</f>
        <v>NaN</v>
      </c>
      <c r="Q160" s="109" t="str">
        <f>IF('Experimental Procedure'!$H$107=0,"NaN",'Intel T265'!M160/'Experimental Procedure'!$H$107*100)</f>
        <v>NaN</v>
      </c>
    </row>
    <row r="161" spans="4:17" x14ac:dyDescent="0.25">
      <c r="D161" s="73"/>
      <c r="E161" s="35" t="s">
        <v>135</v>
      </c>
      <c r="F161" s="20">
        <v>1.4006000000000001</v>
      </c>
      <c r="G161" s="46">
        <v>359.95460000000003</v>
      </c>
      <c r="H161" s="87"/>
      <c r="I161" s="90"/>
      <c r="J161" s="19">
        <f>'Intel T265'!F161-'Experimental Procedure'!$C$108</f>
        <v>6.0000000000015596E-4</v>
      </c>
      <c r="K161" s="96"/>
      <c r="L161" s="49">
        <f>IF('Intel T265'!G161-'Experimental Procedure'!$D$108&lt;-180,'Intel T265'!G161-'Experimental Procedure'!$D$108 + 360,IF('Intel T265'!G161-'Experimental Procedure'!$D$108&gt;180,'Intel T265'!G161-'Experimental Procedure'!$D$108 - 360,'Intel T265'!G161-'Experimental Procedure'!$D$108))</f>
        <v>-4.5399999999972351E-2</v>
      </c>
      <c r="M161" s="107"/>
      <c r="N161" s="52" t="str">
        <f>IF('Experimental Procedure'!$E$108=0,"NaN",J161/'Experimental Procedure'!$E$108*100)</f>
        <v>NaN</v>
      </c>
      <c r="O161" s="93"/>
      <c r="P161" s="52" t="str">
        <f>IF('Experimental Procedure'!$F$108=0,"NaN",L161/'Experimental Procedure'!$F$108*100)</f>
        <v>NaN</v>
      </c>
      <c r="Q161" s="110"/>
    </row>
    <row r="162" spans="4:17" ht="15.75" thickBot="1" x14ac:dyDescent="0.3">
      <c r="D162" s="74"/>
      <c r="E162" s="36" t="s">
        <v>136</v>
      </c>
      <c r="F162" s="22">
        <v>5.4000000000000001E-4</v>
      </c>
      <c r="G162" s="47">
        <v>359.096</v>
      </c>
      <c r="H162" s="88"/>
      <c r="I162" s="91"/>
      <c r="J162" s="21">
        <f>'Intel T265'!F162-'Experimental Procedure'!$C$109</f>
        <v>5.4000000000000001E-4</v>
      </c>
      <c r="K162" s="97"/>
      <c r="L162" s="50">
        <f>IF('Intel T265'!G162-'Experimental Procedure'!$D$109&lt;-180,'Intel T265'!G162-'Experimental Procedure'!$D$109 + 360,IF('Intel T265'!G162-'Experimental Procedure'!$D$109&gt;180,'Intel T265'!G162-'Experimental Procedure'!$D$109 - 360,'Intel T265'!G162-'Experimental Procedure'!$D$109))</f>
        <v>-0.90399999999999636</v>
      </c>
      <c r="M162" s="108"/>
      <c r="N162" s="53" t="str">
        <f>IF('Experimental Procedure'!$E$109=0,"NaN",J162/'Experimental Procedure'!$E$109*100)</f>
        <v>NaN</v>
      </c>
      <c r="O162" s="94"/>
      <c r="P162" s="53" t="str">
        <f>IF('Experimental Procedure'!$F$109=0,"NaN",L162/'Experimental Procedure'!$F$109*100)</f>
        <v>NaN</v>
      </c>
      <c r="Q162" s="111"/>
    </row>
    <row r="163" spans="4:17" x14ac:dyDescent="0.25">
      <c r="D163" s="72" t="s">
        <v>189</v>
      </c>
      <c r="E163" s="8" t="s">
        <v>134</v>
      </c>
      <c r="F163" s="17">
        <v>6.0364579999999997</v>
      </c>
      <c r="G163" s="48">
        <v>356.34879999999998</v>
      </c>
      <c r="H163" s="86">
        <f>SQRT((F160-F163)^2+(F161-F164)^2+(F162-F165)^2)</f>
        <v>3.3635668963429284</v>
      </c>
      <c r="I163" s="89">
        <v>3.7205842901347186</v>
      </c>
      <c r="J163" s="17">
        <f>'Intel T265'!F163-'Experimental Procedure'!$C$110</f>
        <v>3.6457999999999657E-2</v>
      </c>
      <c r="K163" s="86">
        <f t="shared" ref="K163" si="44">SQRT(J163^2+J164^2+J165^2)</f>
        <v>0.63726339431509782</v>
      </c>
      <c r="L163" s="48">
        <f>IF('Intel T265'!G163-'Experimental Procedure'!$D$110&lt;-180,'Intel T265'!G163-'Experimental Procedure'!$D$110 + 360,IF('Intel T265'!G163-'Experimental Procedure'!$D$110&gt;180,'Intel T265'!G163-'Experimental Procedure'!$D$110 - 360,'Intel T265'!G163-'Experimental Procedure'!$D$110))</f>
        <v>-3.6512000000000171</v>
      </c>
      <c r="M163" s="89">
        <v>4.6149733839050242</v>
      </c>
      <c r="N163" s="51" t="str">
        <f>IF('Experimental Procedure'!$E$110=0,"NaN",J163/'Experimental Procedure'!$E$110*100)</f>
        <v>NaN</v>
      </c>
      <c r="O163" s="92">
        <f>IF('Experimental Procedure'!$G$110=0,"NaN",'Intel T265'!K163/'Experimental Procedure'!$G$110*100)</f>
        <v>15.931584857877446</v>
      </c>
      <c r="P163" s="51" t="str">
        <f>IF('Experimental Procedure'!$F$110=0,"NaN",L163/'Experimental Procedure'!$F$110*100)</f>
        <v>NaN</v>
      </c>
      <c r="Q163" s="109" t="str">
        <f>IF('Experimental Procedure'!$H$110=0,"NaN",'Intel T265'!M163/'Experimental Procedure'!$H$110*100)</f>
        <v>NaN</v>
      </c>
    </row>
    <row r="164" spans="4:17" x14ac:dyDescent="0.25">
      <c r="D164" s="73"/>
      <c r="E164" s="9" t="s">
        <v>135</v>
      </c>
      <c r="F164" s="19">
        <v>1.3883509999999999</v>
      </c>
      <c r="G164" s="49">
        <v>357.20499999999998</v>
      </c>
      <c r="H164" s="87"/>
      <c r="I164" s="90"/>
      <c r="J164" s="19">
        <f>'Intel T265'!F164-'Experimental Procedure'!$C$111</f>
        <v>-1.164900000000002E-2</v>
      </c>
      <c r="K164" s="87"/>
      <c r="L164" s="49">
        <f>IF('Intel T265'!G164-'Experimental Procedure'!$D$111&lt;-180,'Intel T265'!G164-'Experimental Procedure'!$D$111 + 360,IF('Intel T265'!G164-'Experimental Procedure'!$D$111&gt;180,'Intel T265'!G164-'Experimental Procedure'!$D$111 - 360,'Intel T265'!G164-'Experimental Procedure'!$D$111))</f>
        <v>-2.7950000000000159</v>
      </c>
      <c r="M164" s="90"/>
      <c r="N164" s="52" t="str">
        <f>IF('Experimental Procedure'!$E$111=0,"NaN",J164/'Experimental Procedure'!$E$111*100)</f>
        <v>NaN</v>
      </c>
      <c r="O164" s="93"/>
      <c r="P164" s="52" t="str">
        <f>IF('Experimental Procedure'!$F$111=0,"NaN",L164/'Experimental Procedure'!$F$111*100)</f>
        <v>NaN</v>
      </c>
      <c r="Q164" s="110"/>
    </row>
    <row r="165" spans="4:17" ht="15.75" thickBot="1" x14ac:dyDescent="0.3">
      <c r="D165" s="74"/>
      <c r="E165" s="10" t="s">
        <v>136</v>
      </c>
      <c r="F165" s="21">
        <v>3.3638870000000001</v>
      </c>
      <c r="G165" s="50">
        <v>0.49575000000000002</v>
      </c>
      <c r="H165" s="88"/>
      <c r="I165" s="91"/>
      <c r="J165" s="21">
        <f>'Intel T265'!F165-'Experimental Procedure'!$C$112</f>
        <v>-0.63611299999999993</v>
      </c>
      <c r="K165" s="88"/>
      <c r="L165" s="50">
        <f>IF('Intel T265'!G165-'Experimental Procedure'!$D$112&lt;-180,'Intel T265'!G165-'Experimental Procedure'!$D$112 + 360,IF('Intel T265'!G165-'Experimental Procedure'!$D$112&gt;180,'Intel T265'!G165-'Experimental Procedure'!$D$112 - 360,'Intel T265'!G165-'Experimental Procedure'!$D$112))</f>
        <v>0.49575000000000002</v>
      </c>
      <c r="M165" s="91"/>
      <c r="N165" s="53">
        <f>IF('Experimental Procedure'!$E$112=0,"NaN",J165/'Experimental Procedure'!$E$112*100)</f>
        <v>-15.902824999999998</v>
      </c>
      <c r="O165" s="94"/>
      <c r="P165" s="53" t="str">
        <f>IF('Experimental Procedure'!$F$112=0,"NaN",L165/'Experimental Procedure'!$F$112*100)</f>
        <v>NaN</v>
      </c>
      <c r="Q165" s="111"/>
    </row>
    <row r="166" spans="4:17" x14ac:dyDescent="0.25">
      <c r="D166" s="72" t="s">
        <v>191</v>
      </c>
      <c r="E166" s="8" t="s">
        <v>134</v>
      </c>
      <c r="F166" s="17">
        <v>5.9017910000000002</v>
      </c>
      <c r="G166" s="48">
        <v>355.60559999999998</v>
      </c>
      <c r="H166" s="86">
        <f>SQRT((F163-F166)^2+(F164-F167)^2+(F165-F168)^2)</f>
        <v>0.1803005808809276</v>
      </c>
      <c r="I166" s="89">
        <v>86.645338595865496</v>
      </c>
      <c r="J166" s="17">
        <f>'Intel T265'!F166-'Experimental Procedure'!$C$113</f>
        <v>-9.8208999999999769E-2</v>
      </c>
      <c r="K166" s="86">
        <f t="shared" ref="K166" si="45">SQRT(J166^2+J167^2+J168^2)</f>
        <v>0.759190533311632</v>
      </c>
      <c r="L166" s="48">
        <f>IF('Intel T265'!G166-'Experimental Procedure'!$D$113&lt;-180,'Intel T265'!G166-'Experimental Procedure'!$D$113 + 360,IF('Intel T265'!G166-'Experimental Procedure'!$D$113&gt;180,'Intel T265'!G166-'Experimental Procedure'!$D$113 - 360,'Intel T265'!G166-'Experimental Procedure'!$D$113))</f>
        <v>-4.3944000000000187</v>
      </c>
      <c r="M166" s="89">
        <v>4.825906054986981</v>
      </c>
      <c r="N166" s="51" t="str">
        <f>IF('Experimental Procedure'!$E$113=0,"NaN",J166/'Experimental Procedure'!$E$113*100)</f>
        <v>NaN</v>
      </c>
      <c r="O166" s="92" t="str">
        <f>IF('Experimental Procedure'!$G$113=0,"NaN",'Intel T265'!K166/'Experimental Procedure'!$G$113*100)</f>
        <v>NaN</v>
      </c>
      <c r="P166" s="51" t="str">
        <f>IF('Experimental Procedure'!$F$113=0,"NaN",L166/'Experimental Procedure'!$F$113*100)</f>
        <v>NaN</v>
      </c>
      <c r="Q166" s="109">
        <f>IF('Experimental Procedure'!$H$113=0,"NaN",'Intel T265'!M166/'Experimental Procedure'!$H$113*100)</f>
        <v>5.3621178388744237</v>
      </c>
    </row>
    <row r="167" spans="4:17" x14ac:dyDescent="0.25">
      <c r="D167" s="73"/>
      <c r="E167" s="9" t="s">
        <v>135</v>
      </c>
      <c r="F167" s="19">
        <v>1.3558699999999999</v>
      </c>
      <c r="G167" s="49">
        <v>270.47160000000002</v>
      </c>
      <c r="H167" s="87"/>
      <c r="I167" s="90"/>
      <c r="J167" s="19">
        <f>'Intel T265'!F167-'Experimental Procedure'!$C$114</f>
        <v>-4.4130000000000003E-2</v>
      </c>
      <c r="K167" s="87"/>
      <c r="L167" s="49">
        <f>IF('Intel T265'!G167-'Experimental Procedure'!$D$114&lt;-180,'Intel T265'!G167-'Experimental Procedure'!$D$114 + 360,IF('Intel T265'!G167-'Experimental Procedure'!$D$114&gt;180,'Intel T265'!G167-'Experimental Procedure'!$D$114 - 360,'Intel T265'!G167-'Experimental Procedure'!$D$114))</f>
        <v>0.47160000000002356</v>
      </c>
      <c r="M167" s="90"/>
      <c r="N167" s="52" t="str">
        <f>IF('Experimental Procedure'!$E$114=0,"NaN",J167/'Experimental Procedure'!$E$114*100)</f>
        <v>NaN</v>
      </c>
      <c r="O167" s="93"/>
      <c r="P167" s="52">
        <f>IF('Experimental Procedure'!$F$114=0,"NaN",L167/'Experimental Procedure'!$F$114*100)</f>
        <v>0.52400000000002622</v>
      </c>
      <c r="Q167" s="110"/>
    </row>
    <row r="168" spans="4:17" ht="15.75" thickBot="1" x14ac:dyDescent="0.3">
      <c r="D168" s="74"/>
      <c r="E168" s="10" t="s">
        <v>136</v>
      </c>
      <c r="F168" s="21">
        <v>3.2484829999999998</v>
      </c>
      <c r="G168" s="50">
        <v>1.9205939999999999</v>
      </c>
      <c r="H168" s="88"/>
      <c r="I168" s="91"/>
      <c r="J168" s="21">
        <f>'Intel T265'!F168-'Experimental Procedure'!$C$115</f>
        <v>-0.75151700000000021</v>
      </c>
      <c r="K168" s="88"/>
      <c r="L168" s="50">
        <f>IF('Intel T265'!G168-'Experimental Procedure'!$D$115&lt;-180,'Intel T265'!G168-'Experimental Procedure'!$D$115 + 360,IF('Intel T265'!G168-'Experimental Procedure'!$D$115&gt;180,'Intel T265'!G168-'Experimental Procedure'!$D$115 - 360,'Intel T265'!G168-'Experimental Procedure'!$D$115))</f>
        <v>1.9205939999999999</v>
      </c>
      <c r="M168" s="91"/>
      <c r="N168" s="53" t="str">
        <f>IF('Experimental Procedure'!$E$115=0,"NaN",J168/'Experimental Procedure'!$E$115*100)</f>
        <v>NaN</v>
      </c>
      <c r="O168" s="94"/>
      <c r="P168" s="53" t="str">
        <f>IF('Experimental Procedure'!$F$115=0,"NaN",L168/'Experimental Procedure'!$F$115*100)</f>
        <v>NaN</v>
      </c>
      <c r="Q168" s="111"/>
    </row>
    <row r="169" spans="4:17" x14ac:dyDescent="0.25">
      <c r="D169" s="72" t="s">
        <v>188</v>
      </c>
      <c r="E169" s="9" t="s">
        <v>134</v>
      </c>
      <c r="F169" s="17">
        <v>0.80141640000000003</v>
      </c>
      <c r="G169" s="48">
        <v>355.90089999999998</v>
      </c>
      <c r="H169" s="86">
        <f>SQRT((F166-F169)^2+(F167-F170)^2+(F168-F171)^2)</f>
        <v>5.1009133610792849</v>
      </c>
      <c r="I169" s="89">
        <v>1.305331001989914</v>
      </c>
      <c r="J169" s="17">
        <f>'Intel T265'!F169-'Experimental Procedure'!$C$116</f>
        <v>0.80141640000000003</v>
      </c>
      <c r="K169" s="86">
        <f t="shared" ref="K169" si="46">SQRT(J169^2+J170^2+J171^2)</f>
        <v>1.147041157986042</v>
      </c>
      <c r="L169" s="48">
        <f>IF('Intel T265'!G169-'Experimental Procedure'!$D$116&lt;-180,'Intel T265'!G169-'Experimental Procedure'!$D$116 + 360,IF('Intel T265'!G169-'Experimental Procedure'!$D$116&gt;180,'Intel T265'!G169-'Experimental Procedure'!$D$116 - 360,'Intel T265'!G169-'Experimental Procedure'!$D$116))</f>
        <v>-4.0991000000000213</v>
      </c>
      <c r="M169" s="89">
        <v>4.6070205324414344</v>
      </c>
      <c r="N169" s="51">
        <f>IF('Experimental Procedure'!$E$116=0,"NaN",J169/'Experimental Procedure'!$E$116*100)</f>
        <v>13.35694</v>
      </c>
      <c r="O169" s="92">
        <f>IF('Experimental Procedure'!$G$116=0,"NaN",'Intel T265'!K169/'Experimental Procedure'!$G$116*100)</f>
        <v>19.117352633100701</v>
      </c>
      <c r="P169" s="51" t="str">
        <f>IF('Experimental Procedure'!$F$116=0,"NaN",L169/'Experimental Procedure'!$F$116*100)</f>
        <v>NaN</v>
      </c>
      <c r="Q169" s="109" t="str">
        <f>IF('Experimental Procedure'!$H$116=0,"NaN",'Intel T265'!M169/'Experimental Procedure'!$H$116*100)</f>
        <v>NaN</v>
      </c>
    </row>
    <row r="170" spans="4:17" x14ac:dyDescent="0.25">
      <c r="D170" s="73"/>
      <c r="E170" s="9" t="s">
        <v>135</v>
      </c>
      <c r="F170" s="19">
        <v>1.3207260000000001</v>
      </c>
      <c r="G170" s="49">
        <v>269.19729999999998</v>
      </c>
      <c r="H170" s="87"/>
      <c r="I170" s="90"/>
      <c r="J170" s="19">
        <f>'Intel T265'!F170-'Experimental Procedure'!$C$117</f>
        <v>-7.9273999999999845E-2</v>
      </c>
      <c r="K170" s="87"/>
      <c r="L170" s="49">
        <f>IF('Intel T265'!G170-'Experimental Procedure'!$D$117&lt;-180,'Intel T265'!G170-'Experimental Procedure'!$D$117 + 360,IF('Intel T265'!G170-'Experimental Procedure'!$D$117&gt;180,'Intel T265'!G170-'Experimental Procedure'!$D$117 - 360,'Intel T265'!G170-'Experimental Procedure'!$D$117))</f>
        <v>-0.80270000000001573</v>
      </c>
      <c r="M170" s="90"/>
      <c r="N170" s="52" t="str">
        <f>IF('Experimental Procedure'!$E$117=0,"NaN",J170/'Experimental Procedure'!$E$117*100)</f>
        <v>NaN</v>
      </c>
      <c r="O170" s="93"/>
      <c r="P170" s="52" t="str">
        <f>IF('Experimental Procedure'!$F$117=0,"NaN",L170/'Experimental Procedure'!$F$117*100)</f>
        <v>NaN</v>
      </c>
      <c r="Q170" s="110"/>
    </row>
    <row r="171" spans="4:17" ht="15.75" thickBot="1" x14ac:dyDescent="0.3">
      <c r="D171" s="74"/>
      <c r="E171" s="10" t="s">
        <v>136</v>
      </c>
      <c r="F171" s="21">
        <v>3.1832069999999999</v>
      </c>
      <c r="G171" s="50">
        <v>1.973068</v>
      </c>
      <c r="H171" s="88"/>
      <c r="I171" s="91"/>
      <c r="J171" s="21">
        <f>'Intel T265'!F171-'Experimental Procedure'!$C$118</f>
        <v>-0.8167930000000001</v>
      </c>
      <c r="K171" s="88"/>
      <c r="L171" s="50">
        <f>IF('Intel T265'!G171-'Experimental Procedure'!$D$118&lt;-180,'Intel T265'!G171-'Experimental Procedure'!$D$118 + 360,IF('Intel T265'!G171-'Experimental Procedure'!$D$118&gt;180,'Intel T265'!G171-'Experimental Procedure'!$D$118 - 360,'Intel T265'!G171-'Experimental Procedure'!$D$118))</f>
        <v>1.973068</v>
      </c>
      <c r="M171" s="91"/>
      <c r="N171" s="53" t="str">
        <f>IF('Experimental Procedure'!$E$118=0,"NaN",J171/'Experimental Procedure'!$E$118*100)</f>
        <v>NaN</v>
      </c>
      <c r="O171" s="94"/>
      <c r="P171" s="53" t="str">
        <f>IF('Experimental Procedure'!$F$118=0,"NaN",L171/'Experimental Procedure'!$F$118*100)</f>
        <v>NaN</v>
      </c>
      <c r="Q171" s="111"/>
    </row>
    <row r="172" spans="4:17" x14ac:dyDescent="0.25">
      <c r="D172" s="72" t="s">
        <v>191</v>
      </c>
      <c r="E172" s="8" t="s">
        <v>134</v>
      </c>
      <c r="F172" s="17">
        <v>0.91877951000000002</v>
      </c>
      <c r="G172" s="48">
        <v>356.05220000000003</v>
      </c>
      <c r="H172" s="86">
        <f>SQRT((F169-F172)^2+(F170-F173)^2+(F171-F174)^2)</f>
        <v>0.12049396064895569</v>
      </c>
      <c r="I172" s="89">
        <v>90.563415122891669</v>
      </c>
      <c r="J172" s="17">
        <f>'Intel T265'!F172-'Experimental Procedure'!$C$119</f>
        <v>0.91877951000000002</v>
      </c>
      <c r="K172" s="86">
        <f t="shared" ref="K172" si="47">SQRT(J172^2+J173^2+J174^2)</f>
        <v>1.2483876747744829</v>
      </c>
      <c r="L172" s="48">
        <f>IF('Intel T265'!G172-'Experimental Procedure'!$D$119&lt;-180,'Intel T265'!G172-'Experimental Procedure'!$D$119 + 360,IF('Intel T265'!G172-'Experimental Procedure'!$D$119&gt;180,'Intel T265'!G172-'Experimental Procedure'!$D$119 - 360,'Intel T265'!G172-'Experimental Procedure'!$D$119))</f>
        <v>-3.9477999999999724</v>
      </c>
      <c r="M172" s="89">
        <v>5.1012629992620298</v>
      </c>
      <c r="N172" s="51" t="str">
        <f>IF('Experimental Procedure'!$E$119=0,"NaN",J172/'Experimental Procedure'!$E$119*100)</f>
        <v>NaN</v>
      </c>
      <c r="O172" s="92" t="str">
        <f>IF('Experimental Procedure'!$G$119=0,"NaN",'Intel T265'!K172/'Experimental Procedure'!$G$119*100)</f>
        <v>NaN</v>
      </c>
      <c r="P172" s="51" t="str">
        <f>IF('Experimental Procedure'!$F$119=0,"NaN",L172/'Experimental Procedure'!$F$119*100)</f>
        <v>NaN</v>
      </c>
      <c r="Q172" s="109">
        <f>IF('Experimental Procedure'!$H$119=0,"NaN",'Intel T265'!M172/'Experimental Procedure'!$H$119*100)</f>
        <v>5.6680699991800338</v>
      </c>
    </row>
    <row r="173" spans="4:17" x14ac:dyDescent="0.25">
      <c r="D173" s="73"/>
      <c r="E173" s="9" t="s">
        <v>135</v>
      </c>
      <c r="F173" s="19">
        <v>1.3304180000000001</v>
      </c>
      <c r="G173" s="49">
        <v>178.56970000000001</v>
      </c>
      <c r="H173" s="87"/>
      <c r="I173" s="90"/>
      <c r="J173" s="19">
        <f>'Intel T265'!F173-'Experimental Procedure'!$C$120</f>
        <v>-6.9581999999999811E-2</v>
      </c>
      <c r="K173" s="87"/>
      <c r="L173" s="49">
        <f>IF('Intel T265'!G173-'Experimental Procedure'!$D$120&lt;-180,'Intel T265'!G173-'Experimental Procedure'!$D$120 + 360,IF('Intel T265'!G173-'Experimental Procedure'!$D$120&gt;180,'Intel T265'!G173-'Experimental Procedure'!$D$120 - 360,'Intel T265'!G173-'Experimental Procedure'!$D$120))</f>
        <v>-1.4302999999999884</v>
      </c>
      <c r="M173" s="90"/>
      <c r="N173" s="52" t="str">
        <f>IF('Experimental Procedure'!$E$120=0,"NaN",J173/'Experimental Procedure'!$E$120*100)</f>
        <v>NaN</v>
      </c>
      <c r="O173" s="93"/>
      <c r="P173" s="52">
        <f>IF('Experimental Procedure'!$F$120=0,"NaN",L173/'Experimental Procedure'!$F$120*100)</f>
        <v>-1.5892222222222092</v>
      </c>
      <c r="Q173" s="110"/>
    </row>
    <row r="174" spans="4:17" ht="15.75" thickBot="1" x14ac:dyDescent="0.3">
      <c r="D174" s="74"/>
      <c r="E174" s="10" t="s">
        <v>136</v>
      </c>
      <c r="F174" s="21">
        <v>3.1576970000000002</v>
      </c>
      <c r="G174" s="50">
        <v>2.9474</v>
      </c>
      <c r="H174" s="88"/>
      <c r="I174" s="91"/>
      <c r="J174" s="21">
        <f>'Intel T265'!F174-'Experimental Procedure'!$C$121</f>
        <v>-0.8423029999999998</v>
      </c>
      <c r="K174" s="88"/>
      <c r="L174" s="50">
        <f>IF('Intel T265'!G174-'Experimental Procedure'!$D$121&lt;-180,'Intel T265'!G174-'Experimental Procedure'!$D$121 + 360,IF('Intel T265'!G174-'Experimental Procedure'!$D$121&gt;180,'Intel T265'!G174-'Experimental Procedure'!$D$121 - 360,'Intel T265'!G174-'Experimental Procedure'!$D$121))</f>
        <v>2.9474</v>
      </c>
      <c r="M174" s="91"/>
      <c r="N174" s="53" t="str">
        <f>IF('Experimental Procedure'!$E$121=0,"NaN",J174/'Experimental Procedure'!$E$121*100)</f>
        <v>NaN</v>
      </c>
      <c r="O174" s="94"/>
      <c r="P174" s="53" t="str">
        <f>IF('Experimental Procedure'!$F$121=0,"NaN",L174/'Experimental Procedure'!$F$121*100)</f>
        <v>NaN</v>
      </c>
      <c r="Q174" s="111"/>
    </row>
    <row r="175" spans="4:17" x14ac:dyDescent="0.25">
      <c r="D175" s="72" t="s">
        <v>190</v>
      </c>
      <c r="E175" s="8" t="s">
        <v>134</v>
      </c>
      <c r="F175" s="17">
        <v>0.92984250000000002</v>
      </c>
      <c r="G175" s="48">
        <v>357.73079999999999</v>
      </c>
      <c r="H175" s="86">
        <f>SQRT((F172-F175)^2+(F173-F176)^2+(F174-F177)^2)</f>
        <v>3.6967856404237169</v>
      </c>
      <c r="I175" s="89">
        <v>2.1082314788393757</v>
      </c>
      <c r="J175" s="17">
        <f>'Intel T265'!F175-'Experimental Procedure'!$C$122</f>
        <v>0.92984250000000002</v>
      </c>
      <c r="K175" s="86">
        <f t="shared" ref="K175" si="48">SQRT(J175^2+J176^2+J177^2)</f>
        <v>1.0777684279108848</v>
      </c>
      <c r="L175" s="48">
        <f>IF('Intel T265'!G175-'Experimental Procedure'!$D$122&lt;-180,'Intel T265'!G175-'Experimental Procedure'!$D$122 + 360,IF('Intel T265'!G175-'Experimental Procedure'!$D$122&gt;180,'Intel T265'!G175-'Experimental Procedure'!$D$122 - 360,'Intel T265'!G175-'Experimental Procedure'!$D$122))</f>
        <v>-2.2692000000000121</v>
      </c>
      <c r="M175" s="89">
        <v>3.7834017501122772</v>
      </c>
      <c r="N175" s="51" t="str">
        <f>IF('Experimental Procedure'!$E$122=0,"NaN",J175/'Experimental Procedure'!$E$122*100)</f>
        <v>NaN</v>
      </c>
      <c r="O175" s="92">
        <f>IF('Experimental Procedure'!$G$122=0,"NaN",'Intel T265'!K175/'Experimental Procedure'!$G$122*100)</f>
        <v>26.944210697772121</v>
      </c>
      <c r="P175" s="51" t="str">
        <f>IF('Experimental Procedure'!$F$122=0,"NaN",L175/'Experimental Procedure'!$F$122*100)</f>
        <v>NaN</v>
      </c>
      <c r="Q175" s="109" t="str">
        <f>IF('Experimental Procedure'!$H$122=0,"NaN",'Intel T265'!M175/'Experimental Procedure'!$H$122*100)</f>
        <v>NaN</v>
      </c>
    </row>
    <row r="176" spans="4:17" x14ac:dyDescent="0.25">
      <c r="D176" s="73"/>
      <c r="E176" s="9" t="s">
        <v>135</v>
      </c>
      <c r="F176" s="19">
        <v>1.320033</v>
      </c>
      <c r="G176" s="49">
        <v>177.7216</v>
      </c>
      <c r="H176" s="87"/>
      <c r="I176" s="90"/>
      <c r="J176" s="19">
        <f>'Intel T265'!F176-'Experimental Procedure'!$C$123</f>
        <v>-7.9966999999999899E-2</v>
      </c>
      <c r="K176" s="87"/>
      <c r="L176" s="49">
        <f>IF('Intel T265'!G176-'Experimental Procedure'!$D$123&lt;-180,'Intel T265'!G176-'Experimental Procedure'!$D$123 + 360,IF('Intel T265'!G176-'Experimental Procedure'!$D$123&gt;180,'Intel T265'!G176-'Experimental Procedure'!$D$123 - 360,'Intel T265'!G176-'Experimental Procedure'!$D$123))</f>
        <v>-2.2784000000000049</v>
      </c>
      <c r="M176" s="90"/>
      <c r="N176" s="52" t="str">
        <f>IF('Experimental Procedure'!$E$123=0,"NaN",J176/'Experimental Procedure'!$E$123*100)</f>
        <v>NaN</v>
      </c>
      <c r="O176" s="93"/>
      <c r="P176" s="52" t="str">
        <f>IF('Experimental Procedure'!$F$123=0,"NaN",L176/'Experimental Procedure'!$F$123*100)</f>
        <v>NaN</v>
      </c>
      <c r="Q176" s="110"/>
    </row>
    <row r="177" spans="4:17" ht="15.75" thickBot="1" x14ac:dyDescent="0.3">
      <c r="D177" s="74"/>
      <c r="E177" s="10" t="s">
        <v>136</v>
      </c>
      <c r="F177" s="21">
        <v>-0.53905749999999997</v>
      </c>
      <c r="G177" s="50">
        <v>2.0394999999999999</v>
      </c>
      <c r="H177" s="88"/>
      <c r="I177" s="91"/>
      <c r="J177" s="21">
        <f>'Intel T265'!F177-'Experimental Procedure'!$C$124</f>
        <v>-0.53905749999999997</v>
      </c>
      <c r="K177" s="88"/>
      <c r="L177" s="50">
        <f>IF('Intel T265'!G177-'Experimental Procedure'!$D$124&lt;-180,'Intel T265'!G177-'Experimental Procedure'!$D$124 + 360,IF('Intel T265'!G177-'Experimental Procedure'!$D$124&gt;180,'Intel T265'!G177-'Experimental Procedure'!$D$124 - 360,'Intel T265'!G177-'Experimental Procedure'!$D$124))</f>
        <v>2.0394999999999999</v>
      </c>
      <c r="M177" s="91"/>
      <c r="N177" s="53">
        <f>IF('Experimental Procedure'!$E$124=0,"NaN",J177/'Experimental Procedure'!$E$124*100)</f>
        <v>-13.476437499999999</v>
      </c>
      <c r="O177" s="94"/>
      <c r="P177" s="53" t="str">
        <f>IF('Experimental Procedure'!$F$124=0,"NaN",L177/'Experimental Procedure'!$F$124*100)</f>
        <v>NaN</v>
      </c>
      <c r="Q177" s="111"/>
    </row>
    <row r="178" spans="4:17" x14ac:dyDescent="0.25">
      <c r="D178" s="72" t="s">
        <v>191</v>
      </c>
      <c r="E178" s="8" t="s">
        <v>134</v>
      </c>
      <c r="F178" s="17">
        <v>0.95632790000000001</v>
      </c>
      <c r="G178" s="48">
        <v>356.44959999999998</v>
      </c>
      <c r="H178" s="86">
        <f>SQRT((F175-F178)^2+(F176-F179)^2+(F177-F180)^2)</f>
        <v>0.29523234509267438</v>
      </c>
      <c r="I178" s="89">
        <v>89.474527944312698</v>
      </c>
      <c r="J178" s="17">
        <f>'Intel T265'!F178-'Experimental Procedure'!$C$125</f>
        <v>0.95632790000000001</v>
      </c>
      <c r="K178" s="86">
        <f t="shared" ref="K178" si="49">SQRT(J178^2+J179^2+J180^2)</f>
        <v>0.99296897071782664</v>
      </c>
      <c r="L178" s="48">
        <f>IF('Intel T265'!G178-'Experimental Procedure'!$D$125&lt;-180,'Intel T265'!G178-'Experimental Procedure'!$D$125 + 360,IF('Intel T265'!G178-'Experimental Procedure'!$D$125&gt;180,'Intel T265'!G178-'Experimental Procedure'!$D$125 - 360,'Intel T265'!G178-'Experimental Procedure'!$D$125))</f>
        <v>-3.5504000000000246</v>
      </c>
      <c r="M178" s="89">
        <v>4.2241391811711342</v>
      </c>
      <c r="N178" s="51" t="str">
        <f>IF('Experimental Procedure'!$E$125=0,"NaN",J178/'Experimental Procedure'!$E$125*100)</f>
        <v>NaN</v>
      </c>
      <c r="O178" s="92" t="str">
        <f>IF('Experimental Procedure'!$G$125=0,"NaN",'Intel T265'!K178/'Experimental Procedure'!$G$125*100)</f>
        <v>NaN</v>
      </c>
      <c r="P178" s="51" t="str">
        <f>IF('Experimental Procedure'!$F$125=0,"NaN",L178/'Experimental Procedure'!$F$125*100)</f>
        <v>NaN</v>
      </c>
      <c r="Q178" s="109">
        <f>IF('Experimental Procedure'!$H$125=0,"NaN",'Intel T265'!M178/'Experimental Procedure'!$H$125*100)</f>
        <v>4.6934879790790376</v>
      </c>
    </row>
    <row r="179" spans="4:17" x14ac:dyDescent="0.25">
      <c r="D179" s="73"/>
      <c r="E179" s="9" t="s">
        <v>135</v>
      </c>
      <c r="F179" s="19">
        <v>1.295628</v>
      </c>
      <c r="G179" s="49">
        <v>88.279430000000005</v>
      </c>
      <c r="H179" s="87"/>
      <c r="I179" s="90"/>
      <c r="J179" s="19">
        <f>'Intel T265'!F179-'Experimental Procedure'!$C$126</f>
        <v>-0.10437199999999991</v>
      </c>
      <c r="K179" s="87"/>
      <c r="L179" s="49">
        <f>IF('Intel T265'!G179-'Experimental Procedure'!$D$126&lt;-180,'Intel T265'!G179-'Experimental Procedure'!$D$126 + 360,IF('Intel T265'!G179-'Experimental Procedure'!$D$126&gt;180,'Intel T265'!G179-'Experimental Procedure'!$D$126 - 360,'Intel T265'!G179-'Experimental Procedure'!$D$126))</f>
        <v>-1.720569999999995</v>
      </c>
      <c r="M179" s="90"/>
      <c r="N179" s="52" t="str">
        <f>IF('Experimental Procedure'!$E$126=0,"NaN",J179/'Experimental Procedure'!$E$126*100)</f>
        <v>NaN</v>
      </c>
      <c r="O179" s="93"/>
      <c r="P179" s="52">
        <f>IF('Experimental Procedure'!$F$126=0,"NaN",L179/'Experimental Procedure'!$F$126*100)</f>
        <v>-1.9117444444444389</v>
      </c>
      <c r="Q179" s="110"/>
    </row>
    <row r="180" spans="4:17" ht="15.75" thickBot="1" x14ac:dyDescent="0.3">
      <c r="D180" s="74"/>
      <c r="E180" s="10" t="s">
        <v>136</v>
      </c>
      <c r="F180" s="21">
        <v>-0.2460301</v>
      </c>
      <c r="G180" s="50">
        <v>1.5640719999999999</v>
      </c>
      <c r="H180" s="88"/>
      <c r="I180" s="91"/>
      <c r="J180" s="21">
        <f>'Intel T265'!F180-'Experimental Procedure'!$C$127</f>
        <v>-0.2460301</v>
      </c>
      <c r="K180" s="88"/>
      <c r="L180" s="50">
        <f>IF('Intel T265'!G180-'Experimental Procedure'!$D$127&lt;-180,'Intel T265'!G180-'Experimental Procedure'!$D$127 + 360,IF('Intel T265'!G180-'Experimental Procedure'!$D$127&gt;180,'Intel T265'!G180-'Experimental Procedure'!$D$127 - 360,'Intel T265'!G180-'Experimental Procedure'!$D$127))</f>
        <v>1.5640719999999999</v>
      </c>
      <c r="M180" s="91"/>
      <c r="N180" s="53" t="str">
        <f>IF('Experimental Procedure'!$E$127=0,"NaN",J180/'Experimental Procedure'!$E$127*100)</f>
        <v>NaN</v>
      </c>
      <c r="O180" s="94"/>
      <c r="P180" s="53" t="str">
        <f>IF('Experimental Procedure'!$F$127=0,"NaN",L180/'Experimental Procedure'!$F$127*100)</f>
        <v>NaN</v>
      </c>
      <c r="Q180" s="111"/>
    </row>
    <row r="181" spans="4:17" x14ac:dyDescent="0.25">
      <c r="D181" s="72" t="s">
        <v>180</v>
      </c>
      <c r="E181" s="8" t="s">
        <v>134</v>
      </c>
      <c r="F181" s="17">
        <v>6.3110109999999997</v>
      </c>
      <c r="G181" s="48">
        <v>357.30340000000001</v>
      </c>
      <c r="H181" s="86">
        <f>SQRT((F178-F181)^2+(F179-F182)^2+(F180-F183)^2)</f>
        <v>5.3546867055216794</v>
      </c>
      <c r="I181" s="89">
        <v>1.5310071720814109</v>
      </c>
      <c r="J181" s="17">
        <f>'Intel T265'!F181-'Experimental Procedure'!$C$128</f>
        <v>0.3110109999999997</v>
      </c>
      <c r="K181" s="86">
        <f t="shared" ref="K181" si="50">SQRT(J181^2+J182^2+J183^2)</f>
        <v>0.40612361963077176</v>
      </c>
      <c r="L181" s="48">
        <f>IF('Intel T265'!G181-'Experimental Procedure'!$D$128&lt;-180,'Intel T265'!G181-'Experimental Procedure'!$D$128 + 360,IF('Intel T265'!G181-'Experimental Procedure'!$D$128&gt;180,'Intel T265'!G181-'Experimental Procedure'!$D$128 - 360,'Intel T265'!G181-'Experimental Procedure'!$D$128))</f>
        <v>-2.6965999999999894</v>
      </c>
      <c r="M181" s="89">
        <v>3.1997030097886028</v>
      </c>
      <c r="N181" s="51">
        <f>IF('Experimental Procedure'!$E$128=0,"NaN",J181/'Experimental Procedure'!$E$128*100)</f>
        <v>5.1835166666666623</v>
      </c>
      <c r="O181" s="92">
        <f>IF('Experimental Procedure'!$G$128=0,"NaN",'Intel T265'!K181/'Experimental Procedure'!$G$128*100)</f>
        <v>6.7687269938461956</v>
      </c>
      <c r="P181" s="51" t="str">
        <f>IF('Experimental Procedure'!$F$128=0,"NaN",L181/'Experimental Procedure'!$F$128*100)</f>
        <v>NaN</v>
      </c>
      <c r="Q181" s="109" t="str">
        <f>IF('Experimental Procedure'!$H$128=0,"NaN",'Intel T265'!M181/'Experimental Procedure'!$H$128*100)</f>
        <v>NaN</v>
      </c>
    </row>
    <row r="182" spans="4:17" x14ac:dyDescent="0.25">
      <c r="D182" s="73"/>
      <c r="E182" s="9" t="s">
        <v>135</v>
      </c>
      <c r="F182" s="19">
        <v>1.2991490000000001</v>
      </c>
      <c r="G182" s="49">
        <v>89.53998</v>
      </c>
      <c r="H182" s="87"/>
      <c r="I182" s="90"/>
      <c r="J182" s="19">
        <f>'Intel T265'!F182-'Experimental Procedure'!$C$129</f>
        <v>-0.1008509999999998</v>
      </c>
      <c r="K182" s="87"/>
      <c r="L182" s="49">
        <f>IF('Intel T265'!G182-'Experimental Procedure'!$D$129&lt;-180,'Intel T265'!G182-'Experimental Procedure'!$D$129 + 360,IF('Intel T265'!G182-'Experimental Procedure'!$D$129&gt;180,'Intel T265'!G182-'Experimental Procedure'!$D$129 - 360,'Intel T265'!G182-'Experimental Procedure'!$D$129))</f>
        <v>-0.4600200000000001</v>
      </c>
      <c r="M182" s="90"/>
      <c r="N182" s="52" t="str">
        <f>IF('Experimental Procedure'!$E$129=0,"NaN",J182/'Experimental Procedure'!$E$129*100)</f>
        <v>NaN</v>
      </c>
      <c r="O182" s="93"/>
      <c r="P182" s="52" t="str">
        <f>IF('Experimental Procedure'!$F$129=0,"NaN",L182/'Experimental Procedure'!$F$129*100)</f>
        <v>NaN</v>
      </c>
      <c r="Q182" s="110"/>
    </row>
    <row r="183" spans="4:17" ht="15.75" thickBot="1" x14ac:dyDescent="0.3">
      <c r="D183" s="74"/>
      <c r="E183" s="10" t="s">
        <v>136</v>
      </c>
      <c r="F183" s="21">
        <v>-0.24091000000000001</v>
      </c>
      <c r="G183" s="50">
        <v>1.6708000000000001</v>
      </c>
      <c r="H183" s="88"/>
      <c r="I183" s="91"/>
      <c r="J183" s="21">
        <f>'Intel T265'!F183-'Experimental Procedure'!$C$130</f>
        <v>-0.24091000000000001</v>
      </c>
      <c r="K183" s="88"/>
      <c r="L183" s="50">
        <f>IF('Intel T265'!G183-'Experimental Procedure'!$D$130&lt;-180,'Intel T265'!G183-'Experimental Procedure'!$D$130 + 360,IF('Intel T265'!G183-'Experimental Procedure'!$D$130&gt;180,'Intel T265'!G183-'Experimental Procedure'!$D$130 - 360,'Intel T265'!G183-'Experimental Procedure'!$D$130))</f>
        <v>1.6708000000000001</v>
      </c>
      <c r="M183" s="91"/>
      <c r="N183" s="53" t="str">
        <f>IF('Experimental Procedure'!$E$130=0,"NaN",J183/'Experimental Procedure'!$E$130*100)</f>
        <v>NaN</v>
      </c>
      <c r="O183" s="94"/>
      <c r="P183" s="53" t="str">
        <f>IF('Experimental Procedure'!$F$130=0,"NaN",L183/'Experimental Procedure'!$F$130*100)</f>
        <v>NaN</v>
      </c>
      <c r="Q183" s="111"/>
    </row>
    <row r="184" spans="4:17" x14ac:dyDescent="0.25">
      <c r="D184" s="83" t="s">
        <v>192</v>
      </c>
      <c r="E184" s="8" t="s">
        <v>134</v>
      </c>
      <c r="F184" s="17">
        <v>6.0011999999999999</v>
      </c>
      <c r="G184" s="48">
        <v>356.2715</v>
      </c>
      <c r="H184" s="86">
        <f>SQRT((F181-F184)^2+(F182-F185)^2+(F183-F186)^2)</f>
        <v>0.32342609054397559</v>
      </c>
      <c r="I184" s="89">
        <v>89.832174006903188</v>
      </c>
      <c r="J184" s="17">
        <f>'Intel T265'!F184-'Experimental Procedure'!$C$131</f>
        <v>1.1999999999998678E-3</v>
      </c>
      <c r="K184" s="86">
        <f t="shared" ref="K184" si="51">SQRT(J184^2+J185^2+J186^2)</f>
        <v>0.16844157536237891</v>
      </c>
      <c r="L184" s="48">
        <f>IF('Intel T265'!G184-'Experimental Procedure'!$D$131&lt;-180,'Intel T265'!G184-'Experimental Procedure'!$D$131 + 360,IF('Intel T265'!G184-'Experimental Procedure'!$D$131&gt;180,'Intel T265'!G184-'Experimental Procedure'!$D$131 - 360,'Intel T265'!G184-'Experimental Procedure'!$D$131))</f>
        <v>-3.7284999999999968</v>
      </c>
      <c r="M184" s="89">
        <v>4.6523183515347206</v>
      </c>
      <c r="N184" s="51" t="str">
        <f>IF('Experimental Procedure'!$E$131=0,"NaN",J184/'Experimental Procedure'!$E$131*100)</f>
        <v>NaN</v>
      </c>
      <c r="O184" s="92" t="str">
        <f>IF('Experimental Procedure'!$G$131=0,"NaN",'Intel T265'!K184/'Experimental Procedure'!$G$131*100)</f>
        <v>NaN</v>
      </c>
      <c r="P184" s="51" t="str">
        <f>IF('Experimental Procedure'!$F$131=0,"NaN",L184/'Experimental Procedure'!$F$131*100)</f>
        <v>NaN</v>
      </c>
      <c r="Q184" s="109">
        <f>IF('Experimental Procedure'!$H$131=0,"NaN",'Intel T265'!M184/'Experimental Procedure'!$H$131*100)</f>
        <v>5.1692426128163573</v>
      </c>
    </row>
    <row r="185" spans="4:17" x14ac:dyDescent="0.25">
      <c r="D185" s="84"/>
      <c r="E185" s="9" t="s">
        <v>135</v>
      </c>
      <c r="F185" s="19">
        <v>1.3385</v>
      </c>
      <c r="G185" s="49">
        <v>359.65600000000001</v>
      </c>
      <c r="H185" s="87"/>
      <c r="I185" s="90"/>
      <c r="J185" s="19">
        <f>'Intel T265'!F185-'Experimental Procedure'!$C$132</f>
        <v>-6.1499999999999888E-2</v>
      </c>
      <c r="K185" s="87"/>
      <c r="L185" s="49">
        <f>IF('Intel T265'!G185-'Experimental Procedure'!$D$132&lt;-180,'Intel T265'!G185-'Experimental Procedure'!$D$132 + 360,IF('Intel T265'!G185-'Experimental Procedure'!$D$132&gt;180,'Intel T265'!G185-'Experimental Procedure'!$D$132 - 360,'Intel T265'!G185-'Experimental Procedure'!$D$132))</f>
        <v>-0.34399999999999409</v>
      </c>
      <c r="M185" s="90"/>
      <c r="N185" s="52" t="str">
        <f>IF('Experimental Procedure'!$E$132=0,"NaN",J185/'Experimental Procedure'!$E$132*100)</f>
        <v>NaN</v>
      </c>
      <c r="O185" s="93"/>
      <c r="P185" s="52">
        <f>IF('Experimental Procedure'!$F$132=0,"NaN",L185/'Experimental Procedure'!$F$132*100)</f>
        <v>-0.38222222222221564</v>
      </c>
      <c r="Q185" s="110"/>
    </row>
    <row r="186" spans="4:17" ht="15.75" thickBot="1" x14ac:dyDescent="0.3">
      <c r="D186" s="85"/>
      <c r="E186" s="10" t="s">
        <v>136</v>
      </c>
      <c r="F186" s="21">
        <v>-0.15680839999999999</v>
      </c>
      <c r="G186" s="50">
        <v>2.7728809999999999</v>
      </c>
      <c r="H186" s="88"/>
      <c r="I186" s="91"/>
      <c r="J186" s="21">
        <f>'Intel T265'!F186-'Experimental Procedure'!$C$133</f>
        <v>-0.15680839999999999</v>
      </c>
      <c r="K186" s="88"/>
      <c r="L186" s="50">
        <f>IF('Intel T265'!G186-'Experimental Procedure'!$D$133&lt;-180,'Intel T265'!G186-'Experimental Procedure'!$D$133 + 360,IF('Intel T265'!G186-'Experimental Procedure'!$D$133&gt;180,'Intel T265'!G186-'Experimental Procedure'!$D$133 - 360,'Intel T265'!G186-'Experimental Procedure'!$D$133))</f>
        <v>2.7728809999999999</v>
      </c>
      <c r="M186" s="91"/>
      <c r="N186" s="53" t="str">
        <f>IF('Experimental Procedure'!$E$133=0,"NaN",J186/'Experimental Procedure'!$E$133*100)</f>
        <v>NaN</v>
      </c>
      <c r="O186" s="94"/>
      <c r="P186" s="53" t="str">
        <f>IF('Experimental Procedure'!$F$133=0,"NaN",L186/'Experimental Procedure'!$F$133*100)</f>
        <v>NaN</v>
      </c>
      <c r="Q186" s="111"/>
    </row>
    <row r="187" spans="4:17" x14ac:dyDescent="0.25">
      <c r="D187" s="72" t="s">
        <v>189</v>
      </c>
      <c r="E187" s="8" t="s">
        <v>134</v>
      </c>
      <c r="F187" s="17">
        <v>6.0033070000000004</v>
      </c>
      <c r="G187" s="48">
        <v>356.37459999999999</v>
      </c>
      <c r="H187" s="86">
        <f>SQRT((F184-F187)^2+(F185-F188)^2+(F186-F189)^2)</f>
        <v>3.5809385919246872</v>
      </c>
      <c r="I187" s="89">
        <v>2.9923609416507038</v>
      </c>
      <c r="J187" s="17">
        <f>'Intel T265'!F187-'Experimental Procedure'!$C$110</f>
        <v>3.307000000000393E-3</v>
      </c>
      <c r="K187" s="86">
        <f t="shared" ref="K187" si="52">SQRT(J187^2+J188^2+J189^2)</f>
        <v>0.57663620926282477</v>
      </c>
      <c r="L187" s="48">
        <f>IF('Intel T265'!G187-'Experimental Procedure'!$D$110&lt;-180,'Intel T265'!G187-'Experimental Procedure'!$D$110 + 360,IF('Intel T265'!G187-'Experimental Procedure'!$D$110&gt;180,'Intel T265'!G187-'Experimental Procedure'!$D$110 - 360,'Intel T265'!G187-'Experimental Procedure'!$D$110))</f>
        <v>-3.6254000000000133</v>
      </c>
      <c r="M187" s="89">
        <v>5.0685242382030689</v>
      </c>
      <c r="N187" s="51" t="str">
        <f>IF('Experimental Procedure'!$E$110=0,"NaN",J187/'Experimental Procedure'!$E$110*100)</f>
        <v>NaN</v>
      </c>
      <c r="O187" s="92">
        <f>IF('Experimental Procedure'!$G$110=0,"NaN",'Intel T265'!K187/'Experimental Procedure'!$G$110*100)</f>
        <v>14.415905231570619</v>
      </c>
      <c r="P187" s="51" t="str">
        <f>IF('Experimental Procedure'!$F$110=0,"NaN",L187/'Experimental Procedure'!$F$110*100)</f>
        <v>NaN</v>
      </c>
      <c r="Q187" s="109" t="str">
        <f>IF('Experimental Procedure'!$H$110=0,"NaN",'Intel T265'!M187/'Experimental Procedure'!$H$110*100)</f>
        <v>NaN</v>
      </c>
    </row>
    <row r="188" spans="4:17" x14ac:dyDescent="0.25">
      <c r="D188" s="73"/>
      <c r="E188" s="9" t="s">
        <v>135</v>
      </c>
      <c r="F188" s="19">
        <v>1.4087719999999999</v>
      </c>
      <c r="G188" s="49">
        <v>356.89030000000002</v>
      </c>
      <c r="H188" s="87"/>
      <c r="I188" s="90"/>
      <c r="J188" s="19">
        <f>'Intel T265'!F188-'Experimental Procedure'!$C$111</f>
        <v>8.772000000000002E-3</v>
      </c>
      <c r="K188" s="87"/>
      <c r="L188" s="49">
        <f>IF('Intel T265'!G188-'Experimental Procedure'!$D$111&lt;-180,'Intel T265'!G188-'Experimental Procedure'!$D$111 + 360,IF('Intel T265'!G188-'Experimental Procedure'!$D$111&gt;180,'Intel T265'!G188-'Experimental Procedure'!$D$111 - 360,'Intel T265'!G188-'Experimental Procedure'!$D$111))</f>
        <v>-3.1096999999999753</v>
      </c>
      <c r="M188" s="90"/>
      <c r="N188" s="52" t="str">
        <f>IF('Experimental Procedure'!$E$111=0,"NaN",J188/'Experimental Procedure'!$E$111*100)</f>
        <v>NaN</v>
      </c>
      <c r="O188" s="93"/>
      <c r="P188" s="52" t="str">
        <f>IF('Experimental Procedure'!$F$111=0,"NaN",L188/'Experimental Procedure'!$F$111*100)</f>
        <v>NaN</v>
      </c>
      <c r="Q188" s="110"/>
    </row>
    <row r="189" spans="4:17" ht="15.75" thickBot="1" x14ac:dyDescent="0.3">
      <c r="D189" s="74"/>
      <c r="E189" s="10" t="s">
        <v>136</v>
      </c>
      <c r="F189" s="21">
        <v>3.4234399999999998</v>
      </c>
      <c r="G189" s="50">
        <v>1.798665</v>
      </c>
      <c r="H189" s="88"/>
      <c r="I189" s="91"/>
      <c r="J189" s="21">
        <f>'Intel T265'!F189-'Experimental Procedure'!$C$112</f>
        <v>-0.57656000000000018</v>
      </c>
      <c r="K189" s="88"/>
      <c r="L189" s="50">
        <f>IF('Intel T265'!G189-'Experimental Procedure'!$D$112&lt;-180,'Intel T265'!G189-'Experimental Procedure'!$D$112 + 360,IF('Intel T265'!G189-'Experimental Procedure'!$D$112&gt;180,'Intel T265'!G189-'Experimental Procedure'!$D$112 - 360,'Intel T265'!G189-'Experimental Procedure'!$D$112))</f>
        <v>1.798665</v>
      </c>
      <c r="M189" s="91"/>
      <c r="N189" s="53">
        <f>IF('Experimental Procedure'!$E$112=0,"NaN",J189/'Experimental Procedure'!$E$112*100)</f>
        <v>-14.414000000000005</v>
      </c>
      <c r="O189" s="94"/>
      <c r="P189" s="53" t="str">
        <f>IF('Experimental Procedure'!$F$112=0,"NaN",L189/'Experimental Procedure'!$F$112*100)</f>
        <v>NaN</v>
      </c>
      <c r="Q189" s="111"/>
    </row>
    <row r="190" spans="4:17" x14ac:dyDescent="0.25">
      <c r="D190" s="72" t="s">
        <v>191</v>
      </c>
      <c r="E190" s="8" t="s">
        <v>134</v>
      </c>
      <c r="F190" s="17">
        <v>5.9348000000000001</v>
      </c>
      <c r="G190" s="48">
        <v>355.28</v>
      </c>
      <c r="H190" s="86">
        <f>SQRT((F187-F190)^2+(F188-F191)^2+(F189-F192)^2)</f>
        <v>0.248406234448735</v>
      </c>
      <c r="I190" s="89">
        <v>87.714375568861271</v>
      </c>
      <c r="J190" s="17">
        <f>'Intel T265'!F190-'Experimental Procedure'!$C$113</f>
        <v>-6.5199999999999925E-2</v>
      </c>
      <c r="K190" s="86">
        <f t="shared" ref="K190" si="53">SQRT(J190^2+J191^2+J192^2)</f>
        <v>0.81334837665049764</v>
      </c>
      <c r="L190" s="48">
        <f>IF('Intel T265'!G190-'Experimental Procedure'!$D$113&lt;-180,'Intel T265'!G190-'Experimental Procedure'!$D$113 + 360,IF('Intel T265'!G190-'Experimental Procedure'!$D$113&gt;180,'Intel T265'!G190-'Experimental Procedure'!$D$113 - 360,'Intel T265'!G190-'Experimental Procedure'!$D$113))</f>
        <v>-4.7200000000000273</v>
      </c>
      <c r="M190" s="89">
        <v>5.073330708337366</v>
      </c>
      <c r="N190" s="51" t="str">
        <f>IF('Experimental Procedure'!$E$113=0,"NaN",J190/'Experimental Procedure'!$E$113*100)</f>
        <v>NaN</v>
      </c>
      <c r="O190" s="92" t="str">
        <f>IF('Experimental Procedure'!$G$113=0,"NaN",'Intel T265'!K190/'Experimental Procedure'!$G$113*100)</f>
        <v>NaN</v>
      </c>
      <c r="P190" s="51" t="str">
        <f>IF('Experimental Procedure'!$F$113=0,"NaN",L190/'Experimental Procedure'!$F$113*100)</f>
        <v>NaN</v>
      </c>
      <c r="Q190" s="109">
        <f>IF('Experimental Procedure'!$H$113=0,"NaN",'Intel T265'!M190/'Experimental Procedure'!$H$113*100)</f>
        <v>5.6370341203748513</v>
      </c>
    </row>
    <row r="191" spans="4:17" x14ac:dyDescent="0.25">
      <c r="D191" s="73"/>
      <c r="E191" s="9" t="s">
        <v>135</v>
      </c>
      <c r="F191" s="19">
        <v>1.35663</v>
      </c>
      <c r="G191" s="49">
        <v>269.18799999999999</v>
      </c>
      <c r="H191" s="87"/>
      <c r="I191" s="90"/>
      <c r="J191" s="19">
        <f>'Intel T265'!F191-'Experimental Procedure'!$C$114</f>
        <v>-4.3369999999999909E-2</v>
      </c>
      <c r="K191" s="87"/>
      <c r="L191" s="49">
        <f>IF('Intel T265'!G191-'Experimental Procedure'!$D$114&lt;-180,'Intel T265'!G191-'Experimental Procedure'!$D$114 + 360,IF('Intel T265'!G191-'Experimental Procedure'!$D$114&gt;180,'Intel T265'!G191-'Experimental Procedure'!$D$114 - 360,'Intel T265'!G191-'Experimental Procedure'!$D$114))</f>
        <v>-0.81200000000001182</v>
      </c>
      <c r="M191" s="90"/>
      <c r="N191" s="52" t="str">
        <f>IF('Experimental Procedure'!$E$114=0,"NaN",J191/'Experimental Procedure'!$E$114*100)</f>
        <v>NaN</v>
      </c>
      <c r="O191" s="93"/>
      <c r="P191" s="52">
        <f>IF('Experimental Procedure'!$F$114=0,"NaN",L191/'Experimental Procedure'!$F$114*100)</f>
        <v>-0.90222222222223536</v>
      </c>
      <c r="Q191" s="110"/>
    </row>
    <row r="192" spans="4:17" ht="15.75" thickBot="1" x14ac:dyDescent="0.3">
      <c r="D192" s="74"/>
      <c r="E192" s="10" t="s">
        <v>136</v>
      </c>
      <c r="F192" s="21">
        <v>3.1904300000000001</v>
      </c>
      <c r="G192" s="50">
        <v>1.708</v>
      </c>
      <c r="H192" s="88"/>
      <c r="I192" s="91"/>
      <c r="J192" s="21">
        <f>'Intel T265'!F192-'Experimental Procedure'!$C$115</f>
        <v>-0.8095699999999999</v>
      </c>
      <c r="K192" s="88"/>
      <c r="L192" s="50">
        <f>IF('Intel T265'!G192-'Experimental Procedure'!$D$115&lt;-180,'Intel T265'!G192-'Experimental Procedure'!$D$115 + 360,IF('Intel T265'!G192-'Experimental Procedure'!$D$115&gt;180,'Intel T265'!G192-'Experimental Procedure'!$D$115 - 360,'Intel T265'!G192-'Experimental Procedure'!$D$115))</f>
        <v>1.708</v>
      </c>
      <c r="M192" s="91"/>
      <c r="N192" s="53" t="str">
        <f>IF('Experimental Procedure'!$E$115=0,"NaN",J192/'Experimental Procedure'!$E$115*100)</f>
        <v>NaN</v>
      </c>
      <c r="O192" s="94"/>
      <c r="P192" s="53" t="str">
        <f>IF('Experimental Procedure'!$F$115=0,"NaN",L192/'Experimental Procedure'!$F$115*100)</f>
        <v>NaN</v>
      </c>
      <c r="Q192" s="111"/>
    </row>
    <row r="193" spans="4:17" x14ac:dyDescent="0.25">
      <c r="D193" s="72" t="s">
        <v>188</v>
      </c>
      <c r="E193" s="8" t="s">
        <v>134</v>
      </c>
      <c r="F193" s="17">
        <v>0.79907989999999995</v>
      </c>
      <c r="G193" s="48">
        <v>355.71080000000001</v>
      </c>
      <c r="H193" s="86">
        <f>SQRT((F190-F193)^2+(F191-F194)^2+(F192-F195)^2)</f>
        <v>5.1362640726821098</v>
      </c>
      <c r="I193" s="89">
        <v>1.5422692258457895</v>
      </c>
      <c r="J193" s="17">
        <f>'Intel T265'!F193-'Experimental Procedure'!$C$116</f>
        <v>0.79907989999999995</v>
      </c>
      <c r="K193" s="86">
        <f t="shared" ref="K193" si="54">SQRT(J193^2+J194^2+J195^2)</f>
        <v>1.1438692446713523</v>
      </c>
      <c r="L193" s="48">
        <f>IF('Intel T265'!G193-'Experimental Procedure'!$D$116&lt;-180,'Intel T265'!G193-'Experimental Procedure'!$D$116 + 360,IF('Intel T265'!G193-'Experimental Procedure'!$D$116&gt;180,'Intel T265'!G193-'Experimental Procedure'!$D$116 - 360,'Intel T265'!G193-'Experimental Procedure'!$D$116))</f>
        <v>-4.2891999999999939</v>
      </c>
      <c r="M193" s="89">
        <v>4.469643485844399</v>
      </c>
      <c r="N193" s="51">
        <f>IF('Experimental Procedure'!$E$116=0,"NaN",J193/'Experimental Procedure'!$E$116*100)</f>
        <v>13.317998333333334</v>
      </c>
      <c r="O193" s="92">
        <f>IF('Experimental Procedure'!$G$116=0,"NaN",'Intel T265'!K193/'Experimental Procedure'!$G$116*100)</f>
        <v>19.064487411189205</v>
      </c>
      <c r="P193" s="51" t="str">
        <f>IF('Experimental Procedure'!$F$116=0,"NaN",L193/'Experimental Procedure'!$F$116*100)</f>
        <v>NaN</v>
      </c>
      <c r="Q193" s="109" t="str">
        <f>IF('Experimental Procedure'!$H$116=0,"NaN",'Intel T265'!M193/'Experimental Procedure'!$H$116*100)</f>
        <v>NaN</v>
      </c>
    </row>
    <row r="194" spans="4:17" x14ac:dyDescent="0.25">
      <c r="D194" s="73"/>
      <c r="E194" s="9" t="s">
        <v>135</v>
      </c>
      <c r="F194" s="19">
        <v>1.2818799999999999</v>
      </c>
      <c r="G194" s="49">
        <v>268.77170000000001</v>
      </c>
      <c r="H194" s="87"/>
      <c r="I194" s="90"/>
      <c r="J194" s="19">
        <f>'Intel T265'!F194-'Experimental Procedure'!$C$117</f>
        <v>-0.11812</v>
      </c>
      <c r="K194" s="87"/>
      <c r="L194" s="49">
        <f>IF('Intel T265'!G194-'Experimental Procedure'!$D$117&lt;-180,'Intel T265'!G194-'Experimental Procedure'!$D$117 + 360,IF('Intel T265'!G194-'Experimental Procedure'!$D$117&gt;180,'Intel T265'!G194-'Experimental Procedure'!$D$117 - 360,'Intel T265'!G194-'Experimental Procedure'!$D$117))</f>
        <v>-1.2282999999999902</v>
      </c>
      <c r="M194" s="90"/>
      <c r="N194" s="52" t="str">
        <f>IF('Experimental Procedure'!$E$117=0,"NaN",J194/'Experimental Procedure'!$E$117*100)</f>
        <v>NaN</v>
      </c>
      <c r="O194" s="93"/>
      <c r="P194" s="52" t="str">
        <f>IF('Experimental Procedure'!$F$117=0,"NaN",L194/'Experimental Procedure'!$F$117*100)</f>
        <v>NaN</v>
      </c>
      <c r="Q194" s="110"/>
    </row>
    <row r="195" spans="4:17" ht="15.75" thickBot="1" x14ac:dyDescent="0.3">
      <c r="D195" s="74"/>
      <c r="E195" s="10" t="s">
        <v>136</v>
      </c>
      <c r="F195" s="21">
        <v>3.190089</v>
      </c>
      <c r="G195" s="50">
        <v>0.31915189999999999</v>
      </c>
      <c r="H195" s="88"/>
      <c r="I195" s="91"/>
      <c r="J195" s="21">
        <f>'Intel T265'!F195-'Experimental Procedure'!$C$118</f>
        <v>-0.80991100000000005</v>
      </c>
      <c r="K195" s="88"/>
      <c r="L195" s="50">
        <f>IF('Intel T265'!G195-'Experimental Procedure'!$D$118&lt;-180,'Intel T265'!G195-'Experimental Procedure'!$D$118 + 360,IF('Intel T265'!G195-'Experimental Procedure'!$D$118&gt;180,'Intel T265'!G195-'Experimental Procedure'!$D$118 - 360,'Intel T265'!G195-'Experimental Procedure'!$D$118))</f>
        <v>0.31915189999999999</v>
      </c>
      <c r="M195" s="91"/>
      <c r="N195" s="53" t="str">
        <f>IF('Experimental Procedure'!$E$118=0,"NaN",J195/'Experimental Procedure'!$E$118*100)</f>
        <v>NaN</v>
      </c>
      <c r="O195" s="94"/>
      <c r="P195" s="53" t="str">
        <f>IF('Experimental Procedure'!$F$118=0,"NaN",L195/'Experimental Procedure'!$F$118*100)</f>
        <v>NaN</v>
      </c>
      <c r="Q195" s="111"/>
    </row>
    <row r="196" spans="4:17" x14ac:dyDescent="0.25">
      <c r="D196" s="72" t="s">
        <v>191</v>
      </c>
      <c r="E196" s="8" t="s">
        <v>134</v>
      </c>
      <c r="F196" s="17">
        <v>0.88541300000000001</v>
      </c>
      <c r="G196" s="48">
        <v>353.73759999999999</v>
      </c>
      <c r="H196" s="86">
        <f>SQRT((F193-F196)^2+(F194-F197)^2+(F195-F198)^2)</f>
        <v>9.3152796370318425E-2</v>
      </c>
      <c r="I196" s="89">
        <v>92.066570852859684</v>
      </c>
      <c r="J196" s="17">
        <f>'Intel T265'!F196-'Experimental Procedure'!$C$119</f>
        <v>0.88541300000000001</v>
      </c>
      <c r="K196" s="86">
        <f t="shared" ref="K196" si="55">SQRT(J196^2+J197^2+J198^2)</f>
        <v>1.2206155913284085</v>
      </c>
      <c r="L196" s="48">
        <f>IF('Intel T265'!G196-'Experimental Procedure'!$D$119&lt;-180,'Intel T265'!G196-'Experimental Procedure'!$D$119 + 360,IF('Intel T265'!G196-'Experimental Procedure'!$D$119&gt;180,'Intel T265'!G196-'Experimental Procedure'!$D$119 - 360,'Intel T265'!G196-'Experimental Procedure'!$D$119))</f>
        <v>-6.2624000000000137</v>
      </c>
      <c r="M196" s="89">
        <v>7.0824671603962903</v>
      </c>
      <c r="N196" s="51" t="str">
        <f>IF('Experimental Procedure'!$E$119=0,"NaN",J196/'Experimental Procedure'!$E$119*100)</f>
        <v>NaN</v>
      </c>
      <c r="O196" s="92" t="str">
        <f>IF('Experimental Procedure'!$G$119=0,"NaN",'Intel T265'!K196/'Experimental Procedure'!$G$119*100)</f>
        <v>NaN</v>
      </c>
      <c r="P196" s="51" t="str">
        <f>IF('Experimental Procedure'!$F$119=0,"NaN",L196/'Experimental Procedure'!$F$119*100)</f>
        <v>NaN</v>
      </c>
      <c r="Q196" s="109">
        <f>IF('Experimental Procedure'!$H$119=0,"NaN",'Intel T265'!M196/'Experimental Procedure'!$H$119*100)</f>
        <v>7.8694079559958787</v>
      </c>
    </row>
    <row r="197" spans="4:17" x14ac:dyDescent="0.25">
      <c r="D197" s="73"/>
      <c r="E197" s="9" t="s">
        <v>135</v>
      </c>
      <c r="F197" s="19">
        <v>1.3063</v>
      </c>
      <c r="G197" s="49">
        <v>176.703</v>
      </c>
      <c r="H197" s="87"/>
      <c r="I197" s="90"/>
      <c r="J197" s="19">
        <f>'Intel T265'!F197-'Experimental Procedure'!$C$120</f>
        <v>-9.3699999999999894E-2</v>
      </c>
      <c r="K197" s="87"/>
      <c r="L197" s="49">
        <f>IF('Intel T265'!G197-'Experimental Procedure'!$D$120&lt;-180,'Intel T265'!G197-'Experimental Procedure'!$D$120 + 360,IF('Intel T265'!G197-'Experimental Procedure'!$D$120&gt;180,'Intel T265'!G197-'Experimental Procedure'!$D$120 - 360,'Intel T265'!G197-'Experimental Procedure'!$D$120))</f>
        <v>-3.296999999999997</v>
      </c>
      <c r="M197" s="90"/>
      <c r="N197" s="52" t="str">
        <f>IF('Experimental Procedure'!$E$120=0,"NaN",J197/'Experimental Procedure'!$E$120*100)</f>
        <v>NaN</v>
      </c>
      <c r="O197" s="93"/>
      <c r="P197" s="52">
        <f>IF('Experimental Procedure'!$F$120=0,"NaN",L197/'Experimental Procedure'!$F$120*100)</f>
        <v>-3.6633333333333304</v>
      </c>
      <c r="Q197" s="110"/>
    </row>
    <row r="198" spans="4:17" ht="15.75" thickBot="1" x14ac:dyDescent="0.3">
      <c r="D198" s="74"/>
      <c r="E198" s="10" t="s">
        <v>136</v>
      </c>
      <c r="F198" s="21">
        <v>3.165035</v>
      </c>
      <c r="G198" s="50">
        <v>0.52239999999999998</v>
      </c>
      <c r="H198" s="88"/>
      <c r="I198" s="91"/>
      <c r="J198" s="21">
        <f>'Intel T265'!F198-'Experimental Procedure'!$C$121</f>
        <v>-0.83496499999999996</v>
      </c>
      <c r="K198" s="88"/>
      <c r="L198" s="50">
        <f>IF('Intel T265'!G198-'Experimental Procedure'!$D$121&lt;-180,'Intel T265'!G198-'Experimental Procedure'!$D$121 + 360,IF('Intel T265'!G198-'Experimental Procedure'!$D$121&gt;180,'Intel T265'!G198-'Experimental Procedure'!$D$121 - 360,'Intel T265'!G198-'Experimental Procedure'!$D$121))</f>
        <v>0.52239999999999998</v>
      </c>
      <c r="M198" s="91"/>
      <c r="N198" s="53" t="str">
        <f>IF('Experimental Procedure'!$E$121=0,"NaN",J198/'Experimental Procedure'!$E$121*100)</f>
        <v>NaN</v>
      </c>
      <c r="O198" s="94"/>
      <c r="P198" s="53" t="str">
        <f>IF('Experimental Procedure'!$F$121=0,"NaN",L198/'Experimental Procedure'!$F$121*100)</f>
        <v>NaN</v>
      </c>
      <c r="Q198" s="111"/>
    </row>
    <row r="199" spans="4:17" x14ac:dyDescent="0.25">
      <c r="D199" s="72" t="s">
        <v>190</v>
      </c>
      <c r="E199" s="8" t="s">
        <v>134</v>
      </c>
      <c r="F199" s="17">
        <v>0.76170020000000005</v>
      </c>
      <c r="G199" s="48">
        <v>355.15589999999997</v>
      </c>
      <c r="H199" s="86">
        <f>SQRT((F196-F199)^2+(F197-F200)^2+(F198-F201)^2)</f>
        <v>3.7434449324669972</v>
      </c>
      <c r="I199" s="89">
        <v>1.858884073703376</v>
      </c>
      <c r="J199" s="17">
        <f>'Intel T265'!F199-'Experimental Procedure'!$C$122</f>
        <v>0.76170020000000005</v>
      </c>
      <c r="K199" s="86">
        <f t="shared" ref="K199" si="56">SQRT(J199^2+J200^2+J201^2)</f>
        <v>0.95479665724385532</v>
      </c>
      <c r="L199" s="48">
        <f>IF('Intel T265'!G199-'Experimental Procedure'!$D$122&lt;-180,'Intel T265'!G199-'Experimental Procedure'!$D$122 + 360,IF('Intel T265'!G199-'Experimental Procedure'!$D$122&gt;180,'Intel T265'!G199-'Experimental Procedure'!$D$122 - 360,'Intel T265'!G199-'Experimental Procedure'!$D$122))</f>
        <v>-4.8441000000000258</v>
      </c>
      <c r="M199" s="89">
        <v>5.5638128283989978</v>
      </c>
      <c r="N199" s="51" t="str">
        <f>IF('Experimental Procedure'!$E$122=0,"NaN",J199/'Experimental Procedure'!$E$122*100)</f>
        <v>NaN</v>
      </c>
      <c r="O199" s="92">
        <f>IF('Experimental Procedure'!$G$122=0,"NaN",'Intel T265'!K199/'Experimental Procedure'!$G$122*100)</f>
        <v>23.869916431096382</v>
      </c>
      <c r="P199" s="51" t="str">
        <f>IF('Experimental Procedure'!$F$122=0,"NaN",L199/'Experimental Procedure'!$F$122*100)</f>
        <v>NaN</v>
      </c>
      <c r="Q199" s="109" t="str">
        <f>IF('Experimental Procedure'!$H$122=0,"NaN",'Intel T265'!M199/'Experimental Procedure'!$H$122*100)</f>
        <v>NaN</v>
      </c>
    </row>
    <row r="200" spans="4:17" x14ac:dyDescent="0.25">
      <c r="D200" s="73"/>
      <c r="E200" s="9" t="s">
        <v>135</v>
      </c>
      <c r="F200" s="19">
        <v>1.385348</v>
      </c>
      <c r="G200" s="49">
        <v>177.3433</v>
      </c>
      <c r="H200" s="87"/>
      <c r="I200" s="90"/>
      <c r="J200" s="19">
        <f>'Intel T265'!F200-'Experimental Procedure'!$C$123</f>
        <v>-1.4651999999999887E-2</v>
      </c>
      <c r="K200" s="87"/>
      <c r="L200" s="49">
        <f>IF('Intel T265'!G200-'Experimental Procedure'!$D$123&lt;-180,'Intel T265'!G200-'Experimental Procedure'!$D$123 + 360,IF('Intel T265'!G200-'Experimental Procedure'!$D$123&gt;180,'Intel T265'!G200-'Experimental Procedure'!$D$123 - 360,'Intel T265'!G200-'Experimental Procedure'!$D$123))</f>
        <v>-2.6567000000000007</v>
      </c>
      <c r="M200" s="90"/>
      <c r="N200" s="52" t="str">
        <f>IF('Experimental Procedure'!$E$123=0,"NaN",J200/'Experimental Procedure'!$E$123*100)</f>
        <v>NaN</v>
      </c>
      <c r="O200" s="93"/>
      <c r="P200" s="52" t="str">
        <f>IF('Experimental Procedure'!$F$123=0,"NaN",L200/'Experimental Procedure'!$F$123*100)</f>
        <v>NaN</v>
      </c>
      <c r="Q200" s="110"/>
    </row>
    <row r="201" spans="4:17" ht="15.75" thickBot="1" x14ac:dyDescent="0.3">
      <c r="D201" s="74"/>
      <c r="E201" s="10" t="s">
        <v>136</v>
      </c>
      <c r="F201" s="21">
        <v>-0.57552999999999999</v>
      </c>
      <c r="G201" s="50">
        <v>359.44170000000003</v>
      </c>
      <c r="H201" s="88"/>
      <c r="I201" s="91"/>
      <c r="J201" s="21">
        <f>'Intel T265'!F201-'Experimental Procedure'!$C$124</f>
        <v>-0.57552999999999999</v>
      </c>
      <c r="K201" s="88"/>
      <c r="L201" s="50">
        <f>IF('Intel T265'!G201-'Experimental Procedure'!$D$124&lt;-180,'Intel T265'!G201-'Experimental Procedure'!$D$124 + 360,IF('Intel T265'!G201-'Experimental Procedure'!$D$124&gt;180,'Intel T265'!G201-'Experimental Procedure'!$D$124 - 360,'Intel T265'!G201-'Experimental Procedure'!$D$124))</f>
        <v>-0.55829999999997426</v>
      </c>
      <c r="M201" s="91"/>
      <c r="N201" s="53">
        <f>IF('Experimental Procedure'!$E$124=0,"NaN",J201/'Experimental Procedure'!$E$124*100)</f>
        <v>-14.388249999999999</v>
      </c>
      <c r="O201" s="94"/>
      <c r="P201" s="53" t="str">
        <f>IF('Experimental Procedure'!$F$124=0,"NaN",L201/'Experimental Procedure'!$F$124*100)</f>
        <v>NaN</v>
      </c>
      <c r="Q201" s="111"/>
    </row>
    <row r="202" spans="4:17" x14ac:dyDescent="0.25">
      <c r="D202" s="72" t="s">
        <v>191</v>
      </c>
      <c r="E202" s="8" t="s">
        <v>134</v>
      </c>
      <c r="F202" s="17">
        <v>0.77264999999999995</v>
      </c>
      <c r="G202" s="48">
        <v>354.34629999999999</v>
      </c>
      <c r="H202" s="86">
        <f>SQRT((F199-F202)^2+(F200-F203)^2+(F201-F204)^2)</f>
        <v>0.34543403257357252</v>
      </c>
      <c r="I202" s="89">
        <v>88.087895950607347</v>
      </c>
      <c r="J202" s="17">
        <f>'Intel T265'!F202-'Experimental Procedure'!$C$125</f>
        <v>0.77264999999999995</v>
      </c>
      <c r="K202" s="86">
        <f t="shared" ref="K202" si="57">SQRT(J202^2+J203^2+J204^2)</f>
        <v>0.80721913151014946</v>
      </c>
      <c r="L202" s="48">
        <f>IF('Intel T265'!G202-'Experimental Procedure'!$D$125&lt;-180,'Intel T265'!G202-'Experimental Procedure'!$D$125 + 360,IF('Intel T265'!G202-'Experimental Procedure'!$D$125&gt;180,'Intel T265'!G202-'Experimental Procedure'!$D$125 - 360,'Intel T265'!G202-'Experimental Procedure'!$D$125))</f>
        <v>-5.6537000000000148</v>
      </c>
      <c r="M202" s="89">
        <v>5.7800986153646132</v>
      </c>
      <c r="N202" s="51" t="str">
        <f>IF('Experimental Procedure'!$E$125=0,"NaN",J202/'Experimental Procedure'!$E$125*100)</f>
        <v>NaN</v>
      </c>
      <c r="O202" s="92" t="str">
        <f>IF('Experimental Procedure'!$G$125=0,"NaN",'Intel T265'!K202/'Experimental Procedure'!$G$125*100)</f>
        <v>NaN</v>
      </c>
      <c r="P202" s="51" t="str">
        <f>IF('Experimental Procedure'!$F$125=0,"NaN",L202/'Experimental Procedure'!$F$125*100)</f>
        <v>NaN</v>
      </c>
      <c r="Q202" s="109">
        <f>IF('Experimental Procedure'!$H$125=0,"NaN",'Intel T265'!M202/'Experimental Procedure'!$H$125*100)</f>
        <v>6.42233179484957</v>
      </c>
    </row>
    <row r="203" spans="4:17" x14ac:dyDescent="0.25">
      <c r="D203" s="73"/>
      <c r="E203" s="9" t="s">
        <v>135</v>
      </c>
      <c r="F203" s="19">
        <v>1.3641000000000001</v>
      </c>
      <c r="G203" s="49">
        <v>89.135999999999996</v>
      </c>
      <c r="H203" s="87"/>
      <c r="I203" s="90"/>
      <c r="J203" s="19">
        <f>'Intel T265'!F203-'Experimental Procedure'!$C$126</f>
        <v>-3.5899999999999821E-2</v>
      </c>
      <c r="K203" s="87"/>
      <c r="L203" s="49">
        <f>IF('Intel T265'!G203-'Experimental Procedure'!$D$126&lt;-180,'Intel T265'!G203-'Experimental Procedure'!$D$126 + 360,IF('Intel T265'!G203-'Experimental Procedure'!$D$126&gt;180,'Intel T265'!G203-'Experimental Procedure'!$D$126 - 360,'Intel T265'!G203-'Experimental Procedure'!$D$126))</f>
        <v>-0.86400000000000432</v>
      </c>
      <c r="M203" s="90"/>
      <c r="N203" s="52" t="str">
        <f>IF('Experimental Procedure'!$E$126=0,"NaN",J203/'Experimental Procedure'!$E$126*100)</f>
        <v>NaN</v>
      </c>
      <c r="O203" s="93"/>
      <c r="P203" s="52">
        <f>IF('Experimental Procedure'!$F$126=0,"NaN",L203/'Experimental Procedure'!$F$126*100)</f>
        <v>-0.96000000000000474</v>
      </c>
      <c r="Q203" s="110"/>
    </row>
    <row r="204" spans="4:17" ht="15.75" thickBot="1" x14ac:dyDescent="0.3">
      <c r="D204" s="74"/>
      <c r="E204" s="10" t="s">
        <v>136</v>
      </c>
      <c r="F204" s="21">
        <v>-0.23092399999999999</v>
      </c>
      <c r="G204" s="50">
        <v>0.88035509999999995</v>
      </c>
      <c r="H204" s="88"/>
      <c r="I204" s="91"/>
      <c r="J204" s="21">
        <f>'Intel T265'!F204-'Experimental Procedure'!$C$127</f>
        <v>-0.23092399999999999</v>
      </c>
      <c r="K204" s="88"/>
      <c r="L204" s="50">
        <f>IF('Intel T265'!G204-'Experimental Procedure'!$D$127&lt;-180,'Intel T265'!G204-'Experimental Procedure'!$D$127 + 360,IF('Intel T265'!G204-'Experimental Procedure'!$D$127&gt;180,'Intel T265'!G204-'Experimental Procedure'!$D$127 - 360,'Intel T265'!G204-'Experimental Procedure'!$D$127))</f>
        <v>0.88035509999999995</v>
      </c>
      <c r="M204" s="91"/>
      <c r="N204" s="53" t="str">
        <f>IF('Experimental Procedure'!$E$127=0,"NaN",J204/'Experimental Procedure'!$E$127*100)</f>
        <v>NaN</v>
      </c>
      <c r="O204" s="94"/>
      <c r="P204" s="53" t="str">
        <f>IF('Experimental Procedure'!$F$127=0,"NaN",L204/'Experimental Procedure'!$F$127*100)</f>
        <v>NaN</v>
      </c>
      <c r="Q204" s="111"/>
    </row>
    <row r="205" spans="4:17" x14ac:dyDescent="0.25">
      <c r="D205" s="72" t="s">
        <v>180</v>
      </c>
      <c r="E205" s="8" t="s">
        <v>134</v>
      </c>
      <c r="F205" s="17">
        <v>6.1558070000000003</v>
      </c>
      <c r="G205" s="48">
        <v>356.44139999999999</v>
      </c>
      <c r="H205" s="86">
        <f>SQRT((F202-F205)^2+(F203-F206)^2+(F204-F207)^2)</f>
        <v>5.3834000006844196</v>
      </c>
      <c r="I205" s="89">
        <v>3.3151657243542947</v>
      </c>
      <c r="J205" s="17">
        <f>'Intel T265'!F205-'Experimental Procedure'!$C$128</f>
        <v>0.15580700000000025</v>
      </c>
      <c r="K205" s="86">
        <f t="shared" ref="K205" si="58">SQRT(J205^2+J206^2+J207^2)</f>
        <v>0.31578590461418643</v>
      </c>
      <c r="L205" s="48">
        <f>IF('Intel T265'!G205-'Experimental Procedure'!$D$128&lt;-180,'Intel T265'!G205-'Experimental Procedure'!$D$128 + 360,IF('Intel T265'!G205-'Experimental Procedure'!$D$128&gt;180,'Intel T265'!G205-'Experimental Procedure'!$D$128 - 360,'Intel T265'!G205-'Experimental Procedure'!$D$128))</f>
        <v>-3.5586000000000126</v>
      </c>
      <c r="M205" s="89">
        <v>4.3040241725833042</v>
      </c>
      <c r="N205" s="51">
        <f>IF('Experimental Procedure'!$E$128=0,"NaN",J205/'Experimental Procedure'!$E$128*100)</f>
        <v>2.5967833333333372</v>
      </c>
      <c r="O205" s="92">
        <f>IF('Experimental Procedure'!$G$128=0,"NaN",'Intel T265'!K205/'Experimental Procedure'!$G$128*100)</f>
        <v>5.2630984102364406</v>
      </c>
      <c r="P205" s="51" t="str">
        <f>IF('Experimental Procedure'!$F$128=0,"NaN",L205/'Experimental Procedure'!$F$128*100)</f>
        <v>NaN</v>
      </c>
      <c r="Q205" s="109" t="str">
        <f>IF('Experimental Procedure'!$H$128=0,"NaN",'Intel T265'!M205/'Experimental Procedure'!$H$128*100)</f>
        <v>NaN</v>
      </c>
    </row>
    <row r="206" spans="4:17" x14ac:dyDescent="0.25">
      <c r="D206" s="73"/>
      <c r="E206" s="9" t="s">
        <v>135</v>
      </c>
      <c r="F206" s="19">
        <v>1.390852</v>
      </c>
      <c r="G206" s="49">
        <v>88.034199999999998</v>
      </c>
      <c r="H206" s="87"/>
      <c r="I206" s="90"/>
      <c r="J206" s="19">
        <f>'Intel T265'!F206-'Experimental Procedure'!$C$129</f>
        <v>-9.147999999999934E-3</v>
      </c>
      <c r="K206" s="87"/>
      <c r="L206" s="49">
        <f>IF('Intel T265'!G206-'Experimental Procedure'!$D$129&lt;-180,'Intel T265'!G206-'Experimental Procedure'!$D$129 + 360,IF('Intel T265'!G206-'Experimental Procedure'!$D$129&gt;180,'Intel T265'!G206-'Experimental Procedure'!$D$129 - 360,'Intel T265'!G206-'Experimental Procedure'!$D$129))</f>
        <v>-1.9658000000000015</v>
      </c>
      <c r="M206" s="90"/>
      <c r="N206" s="52" t="str">
        <f>IF('Experimental Procedure'!$E$129=0,"NaN",J206/'Experimental Procedure'!$E$129*100)</f>
        <v>NaN</v>
      </c>
      <c r="O206" s="93"/>
      <c r="P206" s="52" t="str">
        <f>IF('Experimental Procedure'!$F$129=0,"NaN",L206/'Experimental Procedure'!$F$129*100)</f>
        <v>NaN</v>
      </c>
      <c r="Q206" s="110"/>
    </row>
    <row r="207" spans="4:17" ht="15.75" thickBot="1" x14ac:dyDescent="0.3">
      <c r="D207" s="74"/>
      <c r="E207" s="10" t="s">
        <v>136</v>
      </c>
      <c r="F207" s="21">
        <v>-0.27451999999999999</v>
      </c>
      <c r="G207" s="50">
        <v>358.64600000000002</v>
      </c>
      <c r="H207" s="88"/>
      <c r="I207" s="91"/>
      <c r="J207" s="21">
        <f>'Intel T265'!F207-'Experimental Procedure'!$C$130</f>
        <v>-0.27451999999999999</v>
      </c>
      <c r="K207" s="88"/>
      <c r="L207" s="50">
        <f>IF('Intel T265'!G207-'Experimental Procedure'!$D$130&lt;-180,'Intel T265'!G207-'Experimental Procedure'!$D$130 + 360,IF('Intel T265'!G207-'Experimental Procedure'!$D$130&gt;180,'Intel T265'!G207-'Experimental Procedure'!$D$130 - 360,'Intel T265'!G207-'Experimental Procedure'!$D$130))</f>
        <v>-1.353999999999985</v>
      </c>
      <c r="M207" s="91"/>
      <c r="N207" s="53" t="str">
        <f>IF('Experimental Procedure'!$E$130=0,"NaN",J207/'Experimental Procedure'!$E$130*100)</f>
        <v>NaN</v>
      </c>
      <c r="O207" s="94"/>
      <c r="P207" s="53" t="str">
        <f>IF('Experimental Procedure'!$F$130=0,"NaN",L207/'Experimental Procedure'!$F$130*100)</f>
        <v>NaN</v>
      </c>
      <c r="Q207" s="111"/>
    </row>
    <row r="208" spans="4:17" x14ac:dyDescent="0.25">
      <c r="D208" s="83" t="s">
        <v>192</v>
      </c>
      <c r="E208" s="8" t="s">
        <v>134</v>
      </c>
      <c r="F208" s="17">
        <v>5.9722999999999997</v>
      </c>
      <c r="G208" s="48">
        <v>354.38600000000002</v>
      </c>
      <c r="H208" s="86">
        <f>SQRT((F205-F208)^2+(F206-F209)^2+(F207-F210)^2)</f>
        <v>0.26308019800370591</v>
      </c>
      <c r="I208" s="89">
        <v>88.887611453772422</v>
      </c>
      <c r="J208" s="17">
        <f>'Intel T265'!F208-'Experimental Procedure'!$C$131</f>
        <v>-2.770000000000028E-2</v>
      </c>
      <c r="K208" s="86">
        <f t="shared" ref="K208" si="59">SQRT(J208^2+J209^2+J210^2)</f>
        <v>9.7195967261347396E-2</v>
      </c>
      <c r="L208" s="48">
        <f>IF('Intel T265'!G208-'Experimental Procedure'!$D$131&lt;-180,'Intel T265'!G208-'Experimental Procedure'!$D$131 + 360,IF('Intel T265'!G208-'Experimental Procedure'!$D$131&gt;180,'Intel T265'!G208-'Experimental Procedure'!$D$131 - 360,'Intel T265'!G208-'Experimental Procedure'!$D$131))</f>
        <v>-5.6139999999999759</v>
      </c>
      <c r="M208" s="89">
        <v>5.6912435409650568</v>
      </c>
      <c r="N208" s="51" t="str">
        <f>IF('Experimental Procedure'!$E$131=0,"NaN",J208/'Experimental Procedure'!$E$131*100)</f>
        <v>NaN</v>
      </c>
      <c r="O208" s="92" t="str">
        <f>IF('Experimental Procedure'!$G$131=0,"NaN",'Intel T265'!K208/'Experimental Procedure'!$G$131*100)</f>
        <v>NaN</v>
      </c>
      <c r="P208" s="51" t="str">
        <f>IF('Experimental Procedure'!$F$131=0,"NaN",L208/'Experimental Procedure'!$F$131*100)</f>
        <v>NaN</v>
      </c>
      <c r="Q208" s="109">
        <f>IF('Experimental Procedure'!$H$131=0,"NaN",'Intel T265'!M208/'Experimental Procedure'!$H$131*100)</f>
        <v>6.3236039344056199</v>
      </c>
    </row>
    <row r="209" spans="4:17" x14ac:dyDescent="0.25">
      <c r="D209" s="84"/>
      <c r="E209" s="9" t="s">
        <v>135</v>
      </c>
      <c r="F209" s="19">
        <v>1.3677999999999999</v>
      </c>
      <c r="G209" s="49">
        <v>359.065</v>
      </c>
      <c r="H209" s="87"/>
      <c r="I209" s="90"/>
      <c r="J209" s="19">
        <f>'Intel T265'!F209-'Experimental Procedure'!$C$132</f>
        <v>-3.2200000000000006E-2</v>
      </c>
      <c r="K209" s="87"/>
      <c r="L209" s="49">
        <f>IF('Intel T265'!G209-'Experimental Procedure'!$D$132&lt;-180,'Intel T265'!G209-'Experimental Procedure'!$D$132 + 360,IF('Intel T265'!G209-'Experimental Procedure'!$D$132&gt;180,'Intel T265'!G209-'Experimental Procedure'!$D$132 - 360,'Intel T265'!G209-'Experimental Procedure'!$D$132))</f>
        <v>-0.93500000000000227</v>
      </c>
      <c r="M209" s="90"/>
      <c r="N209" s="52" t="str">
        <f>IF('Experimental Procedure'!$E$132=0,"NaN",J209/'Experimental Procedure'!$E$132*100)</f>
        <v>NaN</v>
      </c>
      <c r="O209" s="93"/>
      <c r="P209" s="52">
        <f>IF('Experimental Procedure'!$F$132=0,"NaN",L209/'Experimental Procedure'!$F$132*100)</f>
        <v>-1.0388888888888914</v>
      </c>
      <c r="Q209" s="110"/>
    </row>
    <row r="210" spans="4:17" ht="15.75" thickBot="1" x14ac:dyDescent="0.3">
      <c r="D210" s="85"/>
      <c r="E210" s="10" t="s">
        <v>136</v>
      </c>
      <c r="F210" s="21">
        <v>-8.7423829999999994E-2</v>
      </c>
      <c r="G210" s="50">
        <v>3.0300000000000001E-3</v>
      </c>
      <c r="H210" s="88"/>
      <c r="I210" s="91"/>
      <c r="J210" s="21">
        <f>'Intel T265'!F210-'Experimental Procedure'!$C$133</f>
        <v>-8.7423829999999994E-2</v>
      </c>
      <c r="K210" s="88"/>
      <c r="L210" s="50">
        <f>IF('Intel T265'!G210-'Experimental Procedure'!$D$133&lt;-180,'Intel T265'!G210-'Experimental Procedure'!$D$133 + 360,IF('Intel T265'!G210-'Experimental Procedure'!$D$133&gt;180,'Intel T265'!G210-'Experimental Procedure'!$D$133 - 360,'Intel T265'!G210-'Experimental Procedure'!$D$133))</f>
        <v>3.0300000000000001E-3</v>
      </c>
      <c r="M210" s="91"/>
      <c r="N210" s="53" t="str">
        <f>IF('Experimental Procedure'!$E$133=0,"NaN",J210/'Experimental Procedure'!$E$133*100)</f>
        <v>NaN</v>
      </c>
      <c r="O210" s="94"/>
      <c r="P210" s="53" t="str">
        <f>IF('Experimental Procedure'!$F$133=0,"NaN",L210/'Experimental Procedure'!$F$133*100)</f>
        <v>NaN</v>
      </c>
      <c r="Q210" s="111"/>
    </row>
    <row r="211" spans="4:17" ht="15.75" thickBot="1" x14ac:dyDescent="0.3">
      <c r="D211" s="29" t="s">
        <v>149</v>
      </c>
      <c r="E211" s="29"/>
      <c r="F211" s="29"/>
      <c r="G211" s="54"/>
      <c r="H211" s="54"/>
      <c r="I211" s="66"/>
      <c r="J211" s="54"/>
      <c r="K211" s="54"/>
      <c r="L211" s="54"/>
      <c r="M211" s="54"/>
      <c r="N211" s="54"/>
      <c r="O211" s="54"/>
      <c r="P211" s="54"/>
      <c r="Q211" s="54"/>
    </row>
    <row r="212" spans="4:17" ht="15.75" thickBot="1" x14ac:dyDescent="0.3">
      <c r="D212" s="75" t="s">
        <v>177</v>
      </c>
      <c r="E212" s="76"/>
      <c r="F212" s="16" t="s">
        <v>137</v>
      </c>
      <c r="G212" s="23" t="s">
        <v>197</v>
      </c>
      <c r="H212" s="16" t="s">
        <v>178</v>
      </c>
      <c r="I212" s="65" t="s">
        <v>179</v>
      </c>
      <c r="J212" s="16" t="s">
        <v>143</v>
      </c>
      <c r="K212" s="34" t="s">
        <v>168</v>
      </c>
      <c r="L212" s="23" t="s">
        <v>144</v>
      </c>
      <c r="M212" s="12" t="s">
        <v>167</v>
      </c>
      <c r="N212" s="16" t="s">
        <v>141</v>
      </c>
      <c r="O212" s="16" t="s">
        <v>171</v>
      </c>
      <c r="P212" s="23" t="s">
        <v>142</v>
      </c>
      <c r="Q212" s="23" t="s">
        <v>172</v>
      </c>
    </row>
    <row r="213" spans="4:17" x14ac:dyDescent="0.25">
      <c r="D213" s="72" t="s">
        <v>180</v>
      </c>
      <c r="E213" s="35" t="s">
        <v>134</v>
      </c>
      <c r="F213" s="18">
        <v>6.0133000000000001</v>
      </c>
      <c r="G213" s="45">
        <v>1.315E-2</v>
      </c>
      <c r="H213" s="86">
        <v>0</v>
      </c>
      <c r="I213" s="89">
        <v>0</v>
      </c>
      <c r="J213" s="17">
        <f>'Intel T265'!F213-'Experimental Procedure'!$C$107</f>
        <v>1.330000000000009E-2</v>
      </c>
      <c r="K213" s="95">
        <f>SQRT(J213^2+J214^2+J215^2)</f>
        <v>2.3607051912511293E-2</v>
      </c>
      <c r="L213" s="48">
        <f>IF('Intel T265'!G213-'Experimental Procedure'!$D$107&lt;-180,'Intel T265'!G213-'Experimental Procedure'!$D$107 + 360,IF('Intel T265'!G213-'Experimental Procedure'!$D$107&gt;180,'Intel T265'!G213-'Experimental Procedure'!$D$107 - 360,'Intel T265'!G213-'Experimental Procedure'!$D$107))</f>
        <v>1.315E-2</v>
      </c>
      <c r="M213" s="106">
        <v>0.25104596684261399</v>
      </c>
      <c r="N213" s="51" t="str">
        <f>IF('Experimental Procedure'!$E$107=0,"NaN",J213/'Experimental Procedure'!$E$107*100)</f>
        <v>NaN</v>
      </c>
      <c r="O213" s="92" t="str">
        <f>IF('Experimental Procedure'!$G$107=0,"NaN",'Intel T265'!K213/'Experimental Procedure'!$G$107*100)</f>
        <v>NaN</v>
      </c>
      <c r="P213" s="51" t="str">
        <f>IF('Experimental Procedure'!$F$107=0,"NaN",L213/'Experimental Procedure'!$F$107*100)</f>
        <v>NaN</v>
      </c>
      <c r="Q213" s="109" t="str">
        <f>IF('Experimental Procedure'!$H$107=0,"NaN",'Intel T265'!M213/'Experimental Procedure'!$H$107*100)</f>
        <v>NaN</v>
      </c>
    </row>
    <row r="214" spans="4:17" x14ac:dyDescent="0.25">
      <c r="D214" s="73"/>
      <c r="E214" s="35" t="s">
        <v>135</v>
      </c>
      <c r="F214" s="20">
        <v>1.4053</v>
      </c>
      <c r="G214" s="46">
        <v>359.76600000000002</v>
      </c>
      <c r="H214" s="87"/>
      <c r="I214" s="90"/>
      <c r="J214" s="19">
        <f>'Intel T265'!F214-'Experimental Procedure'!$C$108</f>
        <v>5.3000000000000824E-3</v>
      </c>
      <c r="K214" s="96"/>
      <c r="L214" s="49">
        <f>IF('Intel T265'!G214-'Experimental Procedure'!$D$108&lt;-180,'Intel T265'!G214-'Experimental Procedure'!$D$108 + 360,IF('Intel T265'!G214-'Experimental Procedure'!$D$108&gt;180,'Intel T265'!G214-'Experimental Procedure'!$D$108 - 360,'Intel T265'!G214-'Experimental Procedure'!$D$108))</f>
        <v>-0.23399999999998045</v>
      </c>
      <c r="M214" s="107"/>
      <c r="N214" s="52" t="str">
        <f>IF('Experimental Procedure'!$E$108=0,"NaN",J214/'Experimental Procedure'!$E$108*100)</f>
        <v>NaN</v>
      </c>
      <c r="O214" s="93"/>
      <c r="P214" s="52" t="str">
        <f>IF('Experimental Procedure'!$F$108=0,"NaN",L214/'Experimental Procedure'!$F$108*100)</f>
        <v>NaN</v>
      </c>
      <c r="Q214" s="110"/>
    </row>
    <row r="215" spans="4:17" ht="15.75" thickBot="1" x14ac:dyDescent="0.3">
      <c r="D215" s="74"/>
      <c r="E215" s="36" t="s">
        <v>136</v>
      </c>
      <c r="F215" s="22">
        <v>1.8769999999999998E-2</v>
      </c>
      <c r="G215" s="47">
        <v>359.91</v>
      </c>
      <c r="H215" s="88"/>
      <c r="I215" s="91"/>
      <c r="J215" s="21">
        <f>'Intel T265'!F215-'Experimental Procedure'!$C$109</f>
        <v>1.8769999999999998E-2</v>
      </c>
      <c r="K215" s="97"/>
      <c r="L215" s="50">
        <f>IF('Intel T265'!G215-'Experimental Procedure'!$D$109&lt;-180,'Intel T265'!G215-'Experimental Procedure'!$D$109 + 360,IF('Intel T265'!G215-'Experimental Procedure'!$D$109&gt;180,'Intel T265'!G215-'Experimental Procedure'!$D$109 - 360,'Intel T265'!G215-'Experimental Procedure'!$D$109))</f>
        <v>-8.9999999999974989E-2</v>
      </c>
      <c r="M215" s="108"/>
      <c r="N215" s="53" t="str">
        <f>IF('Experimental Procedure'!$E$109=0,"NaN",J215/'Experimental Procedure'!$E$109*100)</f>
        <v>NaN</v>
      </c>
      <c r="O215" s="94"/>
      <c r="P215" s="53" t="str">
        <f>IF('Experimental Procedure'!$F$109=0,"NaN",L215/'Experimental Procedure'!$F$109*100)</f>
        <v>NaN</v>
      </c>
      <c r="Q215" s="111"/>
    </row>
    <row r="216" spans="4:17" x14ac:dyDescent="0.25">
      <c r="D216" s="72" t="s">
        <v>189</v>
      </c>
      <c r="E216" s="8" t="s">
        <v>134</v>
      </c>
      <c r="F216" s="17">
        <v>6.1779599999999997</v>
      </c>
      <c r="G216" s="48">
        <v>358.76</v>
      </c>
      <c r="H216" s="86">
        <f>SQRT((F213-F216)^2+(F214-F217)^2+(F215-F218)^2)</f>
        <v>3.7052332403566717</v>
      </c>
      <c r="I216" s="89">
        <v>1.3644293106622034</v>
      </c>
      <c r="J216" s="17">
        <f>'Intel T265'!F216-'Experimental Procedure'!$C$110</f>
        <v>0.17795999999999967</v>
      </c>
      <c r="K216" s="86">
        <f t="shared" ref="K216" si="60">SQRT(J216^2+J217^2+J218^2)</f>
        <v>0.33150703133417836</v>
      </c>
      <c r="L216" s="48">
        <f>IF('Intel T265'!G216-'Experimental Procedure'!$D$110&lt;-180,'Intel T265'!G216-'Experimental Procedure'!$D$110 + 360,IF('Intel T265'!G216-'Experimental Procedure'!$D$110&gt;180,'Intel T265'!G216-'Experimental Procedure'!$D$110 - 360,'Intel T265'!G216-'Experimental Procedure'!$D$110))</f>
        <v>-1.2400000000000091</v>
      </c>
      <c r="M216" s="89">
        <v>1.2908186893213607</v>
      </c>
      <c r="N216" s="51" t="str">
        <f>IF('Experimental Procedure'!$E$110=0,"NaN",J216/'Experimental Procedure'!$E$110*100)</f>
        <v>NaN</v>
      </c>
      <c r="O216" s="92">
        <f>IF('Experimental Procedure'!$G$110=0,"NaN",'Intel T265'!K216/'Experimental Procedure'!$G$110*100)</f>
        <v>8.2876757833544588</v>
      </c>
      <c r="P216" s="51" t="str">
        <f>IF('Experimental Procedure'!$F$110=0,"NaN",L216/'Experimental Procedure'!$F$110*100)</f>
        <v>NaN</v>
      </c>
      <c r="Q216" s="109" t="str">
        <f>IF('Experimental Procedure'!$H$110=0,"NaN",'Intel T265'!M216/'Experimental Procedure'!$H$110*100)</f>
        <v>NaN</v>
      </c>
    </row>
    <row r="217" spans="4:17" x14ac:dyDescent="0.25">
      <c r="D217" s="73"/>
      <c r="E217" s="9" t="s">
        <v>135</v>
      </c>
      <c r="F217" s="19">
        <v>1.3964000000000001</v>
      </c>
      <c r="G217" s="49">
        <v>0.29371000000000003</v>
      </c>
      <c r="H217" s="87"/>
      <c r="I217" s="90"/>
      <c r="J217" s="19">
        <f>'Intel T265'!F217-'Experimental Procedure'!$C$111</f>
        <v>-3.5999999999998256E-3</v>
      </c>
      <c r="K217" s="87"/>
      <c r="L217" s="49">
        <f>IF('Intel T265'!G217-'Experimental Procedure'!$D$111&lt;-180,'Intel T265'!G217-'Experimental Procedure'!$D$111 + 360,IF('Intel T265'!G217-'Experimental Procedure'!$D$111&gt;180,'Intel T265'!G217-'Experimental Procedure'!$D$111 - 360,'Intel T265'!G217-'Experimental Procedure'!$D$111))</f>
        <v>0.29371000000000003</v>
      </c>
      <c r="M217" s="90"/>
      <c r="N217" s="52" t="str">
        <f>IF('Experimental Procedure'!$E$111=0,"NaN",J217/'Experimental Procedure'!$E$111*100)</f>
        <v>NaN</v>
      </c>
      <c r="O217" s="93"/>
      <c r="P217" s="52" t="str">
        <f>IF('Experimental Procedure'!$F$111=0,"NaN",L217/'Experimental Procedure'!$F$111*100)</f>
        <v>NaN</v>
      </c>
      <c r="Q217" s="110"/>
    </row>
    <row r="218" spans="4:17" ht="15.75" thickBot="1" x14ac:dyDescent="0.3">
      <c r="D218" s="74"/>
      <c r="E218" s="10" t="s">
        <v>136</v>
      </c>
      <c r="F218" s="21">
        <v>3.720332</v>
      </c>
      <c r="G218" s="50">
        <v>359.791</v>
      </c>
      <c r="H218" s="88"/>
      <c r="I218" s="91"/>
      <c r="J218" s="21">
        <f>'Intel T265'!F218-'Experimental Procedure'!$C$112</f>
        <v>-0.27966800000000003</v>
      </c>
      <c r="K218" s="88"/>
      <c r="L218" s="50">
        <f>IF('Intel T265'!G218-'Experimental Procedure'!$D$112&lt;-180,'Intel T265'!G218-'Experimental Procedure'!$D$112 + 360,IF('Intel T265'!G218-'Experimental Procedure'!$D$112&gt;180,'Intel T265'!G218-'Experimental Procedure'!$D$112 - 360,'Intel T265'!G218-'Experimental Procedure'!$D$112))</f>
        <v>-0.20900000000000318</v>
      </c>
      <c r="M218" s="91"/>
      <c r="N218" s="53">
        <f>IF('Experimental Procedure'!$E$112=0,"NaN",J218/'Experimental Procedure'!$E$112*100)</f>
        <v>-6.9917000000000007</v>
      </c>
      <c r="O218" s="94"/>
      <c r="P218" s="53" t="str">
        <f>IF('Experimental Procedure'!$F$112=0,"NaN",L218/'Experimental Procedure'!$F$112*100)</f>
        <v>NaN</v>
      </c>
      <c r="Q218" s="111"/>
    </row>
    <row r="219" spans="4:17" x14ac:dyDescent="0.25">
      <c r="D219" s="72" t="s">
        <v>191</v>
      </c>
      <c r="E219" s="8" t="s">
        <v>134</v>
      </c>
      <c r="F219" s="17">
        <v>6.123348</v>
      </c>
      <c r="G219" s="48">
        <v>356.61</v>
      </c>
      <c r="H219" s="86">
        <f>SQRT((F216-F219)^2+(F217-F220)^2+(F218-F221)^2)</f>
        <v>0.17815579274331761</v>
      </c>
      <c r="I219" s="89">
        <v>90.329371283590731</v>
      </c>
      <c r="J219" s="17">
        <f>'Intel T265'!F219-'Experimental Procedure'!$C$113</f>
        <v>0.12334800000000001</v>
      </c>
      <c r="K219" s="86">
        <f t="shared" ref="K219" si="61">SQRT(J219^2+J220^2+J221^2)</f>
        <v>0.46466853874993513</v>
      </c>
      <c r="L219" s="48">
        <f>IF('Intel T265'!G219-'Experimental Procedure'!$D$113&lt;-180,'Intel T265'!G219-'Experimental Procedure'!$D$113 + 360,IF('Intel T265'!G219-'Experimental Procedure'!$D$113&gt;180,'Intel T265'!G219-'Experimental Procedure'!$D$113 - 360,'Intel T265'!G219-'Experimental Procedure'!$D$113))</f>
        <v>-3.3899999999999864</v>
      </c>
      <c r="M219" s="89">
        <v>3.3939277089061988</v>
      </c>
      <c r="N219" s="51" t="str">
        <f>IF('Experimental Procedure'!$E$113=0,"NaN",J219/'Experimental Procedure'!$E$113*100)</f>
        <v>NaN</v>
      </c>
      <c r="O219" s="92" t="str">
        <f>IF('Experimental Procedure'!$G$113=0,"NaN",'Intel T265'!K219/'Experimental Procedure'!$G$113*100)</f>
        <v>NaN</v>
      </c>
      <c r="P219" s="51" t="str">
        <f>IF('Experimental Procedure'!$F$113=0,"NaN",L219/'Experimental Procedure'!$F$113*100)</f>
        <v>NaN</v>
      </c>
      <c r="Q219" s="109">
        <f>IF('Experimental Procedure'!$H$113=0,"NaN",'Intel T265'!M219/'Experimental Procedure'!$H$113*100)</f>
        <v>3.7710307876735545</v>
      </c>
    </row>
    <row r="220" spans="4:17" x14ac:dyDescent="0.25">
      <c r="D220" s="73"/>
      <c r="E220" s="9" t="s">
        <v>135</v>
      </c>
      <c r="F220" s="19">
        <v>1.4204699999999999</v>
      </c>
      <c r="G220" s="49">
        <v>269.98250000000002</v>
      </c>
      <c r="H220" s="87"/>
      <c r="I220" s="90"/>
      <c r="J220" s="19">
        <f>'Intel T265'!F220-'Experimental Procedure'!$C$114</f>
        <v>2.0469999999999988E-2</v>
      </c>
      <c r="K220" s="87"/>
      <c r="L220" s="49">
        <f>IF('Intel T265'!G220-'Experimental Procedure'!$D$114&lt;-180,'Intel T265'!G220-'Experimental Procedure'!$D$114 + 360,IF('Intel T265'!G220-'Experimental Procedure'!$D$114&gt;180,'Intel T265'!G220-'Experimental Procedure'!$D$114 - 360,'Intel T265'!G220-'Experimental Procedure'!$D$114))</f>
        <v>-1.7499999999984084E-2</v>
      </c>
      <c r="M220" s="90"/>
      <c r="N220" s="52" t="str">
        <f>IF('Experimental Procedure'!$E$114=0,"NaN",J220/'Experimental Procedure'!$E$114*100)</f>
        <v>NaN</v>
      </c>
      <c r="O220" s="93"/>
      <c r="P220" s="52">
        <f>IF('Experimental Procedure'!$F$114=0,"NaN",L220/'Experimental Procedure'!$F$114*100)</f>
        <v>-1.9444444444426761E-2</v>
      </c>
      <c r="Q220" s="110"/>
    </row>
    <row r="221" spans="4:17" ht="15.75" thickBot="1" x14ac:dyDescent="0.3">
      <c r="D221" s="74"/>
      <c r="E221" s="10" t="s">
        <v>136</v>
      </c>
      <c r="F221" s="21">
        <v>3.55247</v>
      </c>
      <c r="G221" s="50">
        <v>359.83819999999997</v>
      </c>
      <c r="H221" s="88"/>
      <c r="I221" s="91"/>
      <c r="J221" s="21">
        <f>'Intel T265'!F221-'Experimental Procedure'!$C$115</f>
        <v>-0.44752999999999998</v>
      </c>
      <c r="K221" s="88"/>
      <c r="L221" s="50">
        <f>IF('Intel T265'!G221-'Experimental Procedure'!$D$115&lt;-180,'Intel T265'!G221-'Experimental Procedure'!$D$115 + 360,IF('Intel T265'!G221-'Experimental Procedure'!$D$115&gt;180,'Intel T265'!G221-'Experimental Procedure'!$D$115 - 360,'Intel T265'!G221-'Experimental Procedure'!$D$115))</f>
        <v>-0.16180000000002792</v>
      </c>
      <c r="M221" s="91"/>
      <c r="N221" s="53" t="str">
        <f>IF('Experimental Procedure'!$E$115=0,"NaN",J221/'Experimental Procedure'!$E$115*100)</f>
        <v>NaN</v>
      </c>
      <c r="O221" s="94"/>
      <c r="P221" s="53" t="str">
        <f>IF('Experimental Procedure'!$F$115=0,"NaN",L221/'Experimental Procedure'!$F$115*100)</f>
        <v>NaN</v>
      </c>
      <c r="Q221" s="111"/>
    </row>
    <row r="222" spans="4:17" x14ac:dyDescent="0.25">
      <c r="D222" s="72" t="s">
        <v>188</v>
      </c>
      <c r="E222" s="9" t="s">
        <v>134</v>
      </c>
      <c r="F222" s="17">
        <v>0.5242829</v>
      </c>
      <c r="G222" s="48">
        <v>354.28899999999999</v>
      </c>
      <c r="H222" s="86">
        <f>SQRT((F219-F222)^2+(F220-F223)^2+(F221-F224)^2)</f>
        <v>5.600129343326099</v>
      </c>
      <c r="I222" s="89">
        <v>2.4610355571200495</v>
      </c>
      <c r="J222" s="17">
        <f>'Intel T265'!F222-'Experimental Procedure'!$C$116</f>
        <v>0.5242829</v>
      </c>
      <c r="K222" s="86">
        <f t="shared" ref="K222" si="62">SQRT(J222^2+J223^2+J224^2)</f>
        <v>0.64951622416719523</v>
      </c>
      <c r="L222" s="48">
        <f>IF('Intel T265'!G222-'Experimental Procedure'!$D$116&lt;-180,'Intel T265'!G222-'Experimental Procedure'!$D$116 + 360,IF('Intel T265'!G222-'Experimental Procedure'!$D$116&gt;180,'Intel T265'!G222-'Experimental Procedure'!$D$116 - 360,'Intel T265'!G222-'Experimental Procedure'!$D$116))</f>
        <v>-5.7110000000000127</v>
      </c>
      <c r="M222" s="89">
        <v>5.7697955882034631</v>
      </c>
      <c r="N222" s="51">
        <f>IF('Experimental Procedure'!$E$116=0,"NaN",J222/'Experimental Procedure'!$E$116*100)</f>
        <v>8.7380483333333334</v>
      </c>
      <c r="O222" s="92">
        <f>IF('Experimental Procedure'!$G$116=0,"NaN",'Intel T265'!K222/'Experimental Procedure'!$G$116*100)</f>
        <v>10.825270402786586</v>
      </c>
      <c r="P222" s="51" t="str">
        <f>IF('Experimental Procedure'!$F$116=0,"NaN",L222/'Experimental Procedure'!$F$116*100)</f>
        <v>NaN</v>
      </c>
      <c r="Q222" s="109" t="str">
        <f>IF('Experimental Procedure'!$H$116=0,"NaN",'Intel T265'!M222/'Experimental Procedure'!$H$116*100)</f>
        <v>NaN</v>
      </c>
    </row>
    <row r="223" spans="4:17" x14ac:dyDescent="0.25">
      <c r="D223" s="73"/>
      <c r="E223" s="9" t="s">
        <v>135</v>
      </c>
      <c r="F223" s="19">
        <v>1.498</v>
      </c>
      <c r="G223" s="49">
        <v>269.1773</v>
      </c>
      <c r="H223" s="87"/>
      <c r="I223" s="90"/>
      <c r="J223" s="19">
        <f>'Intel T265'!F223-'Experimental Procedure'!$C$117</f>
        <v>9.8000000000000087E-2</v>
      </c>
      <c r="K223" s="87"/>
      <c r="L223" s="49">
        <f>IF('Intel T265'!G223-'Experimental Procedure'!$D$117&lt;-180,'Intel T265'!G223-'Experimental Procedure'!$D$117 + 360,IF('Intel T265'!G223-'Experimental Procedure'!$D$117&gt;180,'Intel T265'!G223-'Experimental Procedure'!$D$117 - 360,'Intel T265'!G223-'Experimental Procedure'!$D$117))</f>
        <v>-0.82269999999999754</v>
      </c>
      <c r="M223" s="90"/>
      <c r="N223" s="52" t="str">
        <f>IF('Experimental Procedure'!$E$117=0,"NaN",J223/'Experimental Procedure'!$E$117*100)</f>
        <v>NaN</v>
      </c>
      <c r="O223" s="93"/>
      <c r="P223" s="52" t="str">
        <f>IF('Experimental Procedure'!$F$117=0,"NaN",L223/'Experimental Procedure'!$F$117*100)</f>
        <v>NaN</v>
      </c>
      <c r="Q223" s="110"/>
    </row>
    <row r="224" spans="4:17" ht="15.75" thickBot="1" x14ac:dyDescent="0.3">
      <c r="D224" s="74"/>
      <c r="E224" s="10" t="s">
        <v>136</v>
      </c>
      <c r="F224" s="21">
        <v>3.6293319999999998</v>
      </c>
      <c r="G224" s="50">
        <v>6.173E-2</v>
      </c>
      <c r="H224" s="88"/>
      <c r="I224" s="91"/>
      <c r="J224" s="21">
        <f>'Intel T265'!F224-'Experimental Procedure'!$C$118</f>
        <v>-0.37066800000000022</v>
      </c>
      <c r="K224" s="88"/>
      <c r="L224" s="50">
        <f>IF('Intel T265'!G224-'Experimental Procedure'!$D$118&lt;-180,'Intel T265'!G224-'Experimental Procedure'!$D$118 + 360,IF('Intel T265'!G224-'Experimental Procedure'!$D$118&gt;180,'Intel T265'!G224-'Experimental Procedure'!$D$118 - 360,'Intel T265'!G224-'Experimental Procedure'!$D$118))</f>
        <v>6.173E-2</v>
      </c>
      <c r="M224" s="91"/>
      <c r="N224" s="53" t="str">
        <f>IF('Experimental Procedure'!$E$118=0,"NaN",J224/'Experimental Procedure'!$E$118*100)</f>
        <v>NaN</v>
      </c>
      <c r="O224" s="94"/>
      <c r="P224" s="53" t="str">
        <f>IF('Experimental Procedure'!$F$118=0,"NaN",L224/'Experimental Procedure'!$F$118*100)</f>
        <v>NaN</v>
      </c>
      <c r="Q224" s="111"/>
    </row>
    <row r="225" spans="4:17" x14ac:dyDescent="0.25">
      <c r="D225" s="72" t="s">
        <v>191</v>
      </c>
      <c r="E225" s="8" t="s">
        <v>134</v>
      </c>
      <c r="F225" s="17">
        <v>0.61431999999999998</v>
      </c>
      <c r="G225" s="48">
        <v>353.19</v>
      </c>
      <c r="H225" s="86">
        <f>SQRT((F222-F225)^2+(F223-F226)^2+(F224-F227)^2)</f>
        <v>9.5291899558199458E-2</v>
      </c>
      <c r="I225" s="89">
        <v>90.919504200264527</v>
      </c>
      <c r="J225" s="17">
        <f>'Intel T265'!F225-'Experimental Procedure'!$C$119</f>
        <v>0.61431999999999998</v>
      </c>
      <c r="K225" s="86">
        <f t="shared" ref="K225" si="63">SQRT(J225^2+J226^2+J227^2)</f>
        <v>0.74021413394841351</v>
      </c>
      <c r="L225" s="48">
        <f>IF('Intel T265'!G225-'Experimental Procedure'!$D$119&lt;-180,'Intel T265'!G225-'Experimental Procedure'!$D$119 + 360,IF('Intel T265'!G225-'Experimental Procedure'!$D$119&gt;180,'Intel T265'!G225-'Experimental Procedure'!$D$119 - 360,'Intel T265'!G225-'Experimental Procedure'!$D$119))</f>
        <v>-6.8100000000000023</v>
      </c>
      <c r="M225" s="89">
        <v>7.0347438049979543</v>
      </c>
      <c r="N225" s="51" t="str">
        <f>IF('Experimental Procedure'!$E$119=0,"NaN",J225/'Experimental Procedure'!$E$119*100)</f>
        <v>NaN</v>
      </c>
      <c r="O225" s="92" t="str">
        <f>IF('Experimental Procedure'!$G$119=0,"NaN",'Intel T265'!K225/'Experimental Procedure'!$G$119*100)</f>
        <v>NaN</v>
      </c>
      <c r="P225" s="51" t="str">
        <f>IF('Experimental Procedure'!$F$119=0,"NaN",L225/'Experimental Procedure'!$F$119*100)</f>
        <v>NaN</v>
      </c>
      <c r="Q225" s="109">
        <f>IF('Experimental Procedure'!$H$119=0,"NaN",'Intel T265'!M225/'Experimental Procedure'!$H$119*100)</f>
        <v>7.816382005553284</v>
      </c>
    </row>
    <row r="226" spans="4:17" x14ac:dyDescent="0.25">
      <c r="D226" s="73"/>
      <c r="E226" s="9" t="s">
        <v>135</v>
      </c>
      <c r="F226" s="19">
        <v>1.5155959999999999</v>
      </c>
      <c r="G226" s="49">
        <v>178.31989999999999</v>
      </c>
      <c r="H226" s="87"/>
      <c r="I226" s="90"/>
      <c r="J226" s="19">
        <f>'Intel T265'!F226-'Experimental Procedure'!$C$120</f>
        <v>0.11559600000000003</v>
      </c>
      <c r="K226" s="87"/>
      <c r="L226" s="49">
        <f>IF('Intel T265'!G226-'Experimental Procedure'!$D$120&lt;-180,'Intel T265'!G226-'Experimental Procedure'!$D$120 + 360,IF('Intel T265'!G226-'Experimental Procedure'!$D$120&gt;180,'Intel T265'!G226-'Experimental Procedure'!$D$120 - 360,'Intel T265'!G226-'Experimental Procedure'!$D$120))</f>
        <v>-1.6801000000000101</v>
      </c>
      <c r="M226" s="90"/>
      <c r="N226" s="52" t="str">
        <f>IF('Experimental Procedure'!$E$120=0,"NaN",J226/'Experimental Procedure'!$E$120*100)</f>
        <v>NaN</v>
      </c>
      <c r="O226" s="93"/>
      <c r="P226" s="52">
        <f>IF('Experimental Procedure'!$F$120=0,"NaN",L226/'Experimental Procedure'!$F$120*100)</f>
        <v>-1.866777777777789</v>
      </c>
      <c r="Q226" s="110"/>
    </row>
    <row r="227" spans="4:17" ht="15.75" thickBot="1" x14ac:dyDescent="0.3">
      <c r="D227" s="74"/>
      <c r="E227" s="10" t="s">
        <v>136</v>
      </c>
      <c r="F227" s="21">
        <v>3.6035590000000002</v>
      </c>
      <c r="G227" s="50">
        <v>359.55</v>
      </c>
      <c r="H227" s="88"/>
      <c r="I227" s="91"/>
      <c r="J227" s="21">
        <f>'Intel T265'!F227-'Experimental Procedure'!$C$121</f>
        <v>-0.39644099999999982</v>
      </c>
      <c r="K227" s="88"/>
      <c r="L227" s="50">
        <f>IF('Intel T265'!G227-'Experimental Procedure'!$D$121&lt;-180,'Intel T265'!G227-'Experimental Procedure'!$D$121 + 360,IF('Intel T265'!G227-'Experimental Procedure'!$D$121&gt;180,'Intel T265'!G227-'Experimental Procedure'!$D$121 - 360,'Intel T265'!G227-'Experimental Procedure'!$D$121))</f>
        <v>-0.44999999999998863</v>
      </c>
      <c r="M227" s="91"/>
      <c r="N227" s="53" t="str">
        <f>IF('Experimental Procedure'!$E$121=0,"NaN",J227/'Experimental Procedure'!$E$121*100)</f>
        <v>NaN</v>
      </c>
      <c r="O227" s="94"/>
      <c r="P227" s="53" t="str">
        <f>IF('Experimental Procedure'!$F$121=0,"NaN",L227/'Experimental Procedure'!$F$121*100)</f>
        <v>NaN</v>
      </c>
      <c r="Q227" s="111"/>
    </row>
    <row r="228" spans="4:17" x14ac:dyDescent="0.25">
      <c r="D228" s="72" t="s">
        <v>190</v>
      </c>
      <c r="E228" s="8" t="s">
        <v>134</v>
      </c>
      <c r="F228" s="17">
        <v>0.5878525</v>
      </c>
      <c r="G228" s="48">
        <v>355.55</v>
      </c>
      <c r="H228" s="86">
        <f>SQRT((F225-F228)^2+(F226-F229)^2+(F227-F230)^2)</f>
        <v>3.7863031725317837</v>
      </c>
      <c r="I228" s="89">
        <v>2.4618792645171399</v>
      </c>
      <c r="J228" s="17">
        <f>'Intel T265'!F228-'Experimental Procedure'!$C$122</f>
        <v>0.5878525</v>
      </c>
      <c r="K228" s="86">
        <f t="shared" ref="K228" si="64">SQRT(J228^2+J229^2+J230^2)</f>
        <v>0.65556455608372388</v>
      </c>
      <c r="L228" s="48">
        <f>IF('Intel T265'!G228-'Experimental Procedure'!$D$122&lt;-180,'Intel T265'!G228-'Experimental Procedure'!$D$122 + 360,IF('Intel T265'!G228-'Experimental Procedure'!$D$122&gt;180,'Intel T265'!G228-'Experimental Procedure'!$D$122 - 360,'Intel T265'!G228-'Experimental Procedure'!$D$122))</f>
        <v>-4.4499999999999886</v>
      </c>
      <c r="M228" s="89">
        <v>5.0576506327242932</v>
      </c>
      <c r="N228" s="51" t="str">
        <f>IF('Experimental Procedure'!$E$122=0,"NaN",J228/'Experimental Procedure'!$E$122*100)</f>
        <v>NaN</v>
      </c>
      <c r="O228" s="92">
        <f>IF('Experimental Procedure'!$G$122=0,"NaN",'Intel T265'!K228/'Experimental Procedure'!$G$122*100)</f>
        <v>16.389113902093097</v>
      </c>
      <c r="P228" s="51" t="str">
        <f>IF('Experimental Procedure'!$F$122=0,"NaN",L228/'Experimental Procedure'!$F$122*100)</f>
        <v>NaN</v>
      </c>
      <c r="Q228" s="109" t="str">
        <f>IF('Experimental Procedure'!$H$122=0,"NaN",'Intel T265'!M228/'Experimental Procedure'!$H$122*100)</f>
        <v>NaN</v>
      </c>
    </row>
    <row r="229" spans="4:17" x14ac:dyDescent="0.25">
      <c r="D229" s="73"/>
      <c r="E229" s="9" t="s">
        <v>135</v>
      </c>
      <c r="F229" s="19">
        <v>1.6267739999999999</v>
      </c>
      <c r="G229" s="49">
        <v>177.62299999999999</v>
      </c>
      <c r="H229" s="87"/>
      <c r="I229" s="90"/>
      <c r="J229" s="19">
        <f>'Intel T265'!F229-'Experimental Procedure'!$C$123</f>
        <v>0.22677400000000003</v>
      </c>
      <c r="K229" s="87"/>
      <c r="L229" s="49">
        <f>IF('Intel T265'!G229-'Experimental Procedure'!$D$123&lt;-180,'Intel T265'!G229-'Experimental Procedure'!$D$123 + 360,IF('Intel T265'!G229-'Experimental Procedure'!$D$123&gt;180,'Intel T265'!G229-'Experimental Procedure'!$D$123 - 360,'Intel T265'!G229-'Experimental Procedure'!$D$123))</f>
        <v>-2.3770000000000095</v>
      </c>
      <c r="M229" s="90"/>
      <c r="N229" s="52" t="str">
        <f>IF('Experimental Procedure'!$E$123=0,"NaN",J229/'Experimental Procedure'!$E$123*100)</f>
        <v>NaN</v>
      </c>
      <c r="O229" s="93"/>
      <c r="P229" s="52" t="str">
        <f>IF('Experimental Procedure'!$F$123=0,"NaN",L229/'Experimental Procedure'!$F$123*100)</f>
        <v>NaN</v>
      </c>
      <c r="Q229" s="110"/>
    </row>
    <row r="230" spans="4:17" ht="15.75" thickBot="1" x14ac:dyDescent="0.3">
      <c r="D230" s="74"/>
      <c r="E230" s="10" t="s">
        <v>136</v>
      </c>
      <c r="F230" s="21">
        <v>-0.18101900000000001</v>
      </c>
      <c r="G230" s="50">
        <v>359.72</v>
      </c>
      <c r="H230" s="88"/>
      <c r="I230" s="91"/>
      <c r="J230" s="21">
        <f>'Intel T265'!F230-'Experimental Procedure'!$C$124</f>
        <v>-0.18101900000000001</v>
      </c>
      <c r="K230" s="88"/>
      <c r="L230" s="50">
        <f>IF('Intel T265'!G230-'Experimental Procedure'!$D$124&lt;-180,'Intel T265'!G230-'Experimental Procedure'!$D$124 + 360,IF('Intel T265'!G230-'Experimental Procedure'!$D$124&gt;180,'Intel T265'!G230-'Experimental Procedure'!$D$124 - 360,'Intel T265'!G230-'Experimental Procedure'!$D$124))</f>
        <v>-0.27999999999997272</v>
      </c>
      <c r="M230" s="91"/>
      <c r="N230" s="53">
        <f>IF('Experimental Procedure'!$E$124=0,"NaN",J230/'Experimental Procedure'!$E$124*100)</f>
        <v>-4.5254750000000001</v>
      </c>
      <c r="O230" s="94"/>
      <c r="P230" s="53" t="str">
        <f>IF('Experimental Procedure'!$F$124=0,"NaN",L230/'Experimental Procedure'!$F$124*100)</f>
        <v>NaN</v>
      </c>
      <c r="Q230" s="111"/>
    </row>
    <row r="231" spans="4:17" x14ac:dyDescent="0.25">
      <c r="D231" s="72" t="s">
        <v>191</v>
      </c>
      <c r="E231" s="8" t="s">
        <v>134</v>
      </c>
      <c r="F231" s="17">
        <v>0.75760400000000006</v>
      </c>
      <c r="G231" s="48">
        <v>355.78399999999999</v>
      </c>
      <c r="H231" s="86">
        <f>SQRT((F228-F231)^2+(F229-F232)^2+(F230-F233)^2)</f>
        <v>0.24667090203193814</v>
      </c>
      <c r="I231" s="89">
        <v>87.504132578239648</v>
      </c>
      <c r="J231" s="17">
        <f>'Intel T265'!F231-'Experimental Procedure'!$C$125</f>
        <v>0.75760400000000006</v>
      </c>
      <c r="K231" s="86">
        <f t="shared" ref="K231" si="65">SQRT(J231^2+J232^2+J233^2)</f>
        <v>0.80511303114283284</v>
      </c>
      <c r="L231" s="48">
        <f>IF('Intel T265'!G231-'Experimental Procedure'!$D$125&lt;-180,'Intel T265'!G231-'Experimental Procedure'!$D$125 + 360,IF('Intel T265'!G231-'Experimental Procedure'!$D$125&gt;180,'Intel T265'!G231-'Experimental Procedure'!$D$125 - 360,'Intel T265'!G231-'Experimental Procedure'!$D$125))</f>
        <v>-4.2160000000000082</v>
      </c>
      <c r="M231" s="89">
        <v>4.2172388193209489</v>
      </c>
      <c r="N231" s="51" t="str">
        <f>IF('Experimental Procedure'!$E$125=0,"NaN",J231/'Experimental Procedure'!$E$125*100)</f>
        <v>NaN</v>
      </c>
      <c r="O231" s="92" t="str">
        <f>IF('Experimental Procedure'!$G$125=0,"NaN",'Intel T265'!K231/'Experimental Procedure'!$G$125*100)</f>
        <v>NaN</v>
      </c>
      <c r="P231" s="51" t="str">
        <f>IF('Experimental Procedure'!$F$125=0,"NaN",L231/'Experimental Procedure'!$F$125*100)</f>
        <v>NaN</v>
      </c>
      <c r="Q231" s="109">
        <f>IF('Experimental Procedure'!$H$125=0,"NaN",'Intel T265'!M231/'Experimental Procedure'!$H$125*100)</f>
        <v>4.6858209103566102</v>
      </c>
    </row>
    <row r="232" spans="4:17" x14ac:dyDescent="0.25">
      <c r="D232" s="73"/>
      <c r="E232" s="9" t="s">
        <v>135</v>
      </c>
      <c r="F232" s="19">
        <v>1.6723600000000001</v>
      </c>
      <c r="G232" s="49">
        <v>90.096000000000004</v>
      </c>
      <c r="H232" s="87"/>
      <c r="I232" s="90"/>
      <c r="J232" s="19">
        <f>'Intel T265'!F232-'Experimental Procedure'!$C$126</f>
        <v>0.27236000000000016</v>
      </c>
      <c r="K232" s="87"/>
      <c r="L232" s="49">
        <f>IF('Intel T265'!G232-'Experimental Procedure'!$D$126&lt;-180,'Intel T265'!G232-'Experimental Procedure'!$D$126 + 360,IF('Intel T265'!G232-'Experimental Procedure'!$D$126&gt;180,'Intel T265'!G232-'Experimental Procedure'!$D$126 - 360,'Intel T265'!G232-'Experimental Procedure'!$D$126))</f>
        <v>9.6000000000003638E-2</v>
      </c>
      <c r="M232" s="90"/>
      <c r="N232" s="52" t="str">
        <f>IF('Experimental Procedure'!$E$126=0,"NaN",J232/'Experimental Procedure'!$E$126*100)</f>
        <v>NaN</v>
      </c>
      <c r="O232" s="93"/>
      <c r="P232" s="52">
        <f>IF('Experimental Procedure'!$F$126=0,"NaN",L232/'Experimental Procedure'!$F$126*100)</f>
        <v>0.10666666666667071</v>
      </c>
      <c r="Q232" s="110"/>
    </row>
    <row r="233" spans="4:17" ht="15.75" thickBot="1" x14ac:dyDescent="0.3">
      <c r="D233" s="74"/>
      <c r="E233" s="10" t="s">
        <v>136</v>
      </c>
      <c r="F233" s="21">
        <v>-7.9500000000000005E-3</v>
      </c>
      <c r="G233" s="50">
        <v>3.1800000000000002E-2</v>
      </c>
      <c r="H233" s="88"/>
      <c r="I233" s="91"/>
      <c r="J233" s="21">
        <f>'Intel T265'!F233-'Experimental Procedure'!$C$127</f>
        <v>-7.9500000000000005E-3</v>
      </c>
      <c r="K233" s="88"/>
      <c r="L233" s="50">
        <f>IF('Intel T265'!G233-'Experimental Procedure'!$D$127&lt;-180,'Intel T265'!G233-'Experimental Procedure'!$D$127 + 360,IF('Intel T265'!G233-'Experimental Procedure'!$D$127&gt;180,'Intel T265'!G233-'Experimental Procedure'!$D$127 - 360,'Intel T265'!G233-'Experimental Procedure'!$D$127))</f>
        <v>3.1800000000000002E-2</v>
      </c>
      <c r="M233" s="91"/>
      <c r="N233" s="53" t="str">
        <f>IF('Experimental Procedure'!$E$127=0,"NaN",J233/'Experimental Procedure'!$E$127*100)</f>
        <v>NaN</v>
      </c>
      <c r="O233" s="94"/>
      <c r="P233" s="53" t="str">
        <f>IF('Experimental Procedure'!$F$127=0,"NaN",L233/'Experimental Procedure'!$F$127*100)</f>
        <v>NaN</v>
      </c>
      <c r="Q233" s="111"/>
    </row>
    <row r="234" spans="4:17" x14ac:dyDescent="0.25">
      <c r="D234" s="72" t="s">
        <v>180</v>
      </c>
      <c r="E234" s="8" t="s">
        <v>134</v>
      </c>
      <c r="F234" s="17">
        <v>4.4215030000000004</v>
      </c>
      <c r="G234" s="48">
        <v>356.25069999999999</v>
      </c>
      <c r="H234" s="86">
        <f>SQRT((F231-F234)^2+(F232-F235)^2+(F233-F236)^2)</f>
        <v>3.6647866991410289</v>
      </c>
      <c r="I234" s="89">
        <v>1.0853372579800245</v>
      </c>
      <c r="J234" s="17">
        <f>'Intel T265'!F234-'Experimental Procedure'!$C$128</f>
        <v>-1.5784969999999996</v>
      </c>
      <c r="K234" s="86">
        <f t="shared" ref="K234" si="66">SQRT(J234^2+J235^2+J236^2)</f>
        <v>1.6146743405123518</v>
      </c>
      <c r="L234" s="48">
        <f>IF('Intel T265'!G234-'Experimental Procedure'!$D$128&lt;-180,'Intel T265'!G234-'Experimental Procedure'!$D$128 + 360,IF('Intel T265'!G234-'Experimental Procedure'!$D$128&gt;180,'Intel T265'!G234-'Experimental Procedure'!$D$128 - 360,'Intel T265'!G234-'Experimental Procedure'!$D$128))</f>
        <v>-3.7493000000000052</v>
      </c>
      <c r="M234" s="89">
        <v>3.8739292314205453</v>
      </c>
      <c r="N234" s="51">
        <f>IF('Experimental Procedure'!$E$128=0,"NaN",J234/'Experimental Procedure'!$E$128*100)</f>
        <v>-26.308283333333328</v>
      </c>
      <c r="O234" s="92">
        <f>IF('Experimental Procedure'!$G$128=0,"NaN",'Intel T265'!K234/'Experimental Procedure'!$G$128*100)</f>
        <v>26.911239008539194</v>
      </c>
      <c r="P234" s="51" t="str">
        <f>IF('Experimental Procedure'!$F$128=0,"NaN",L234/'Experimental Procedure'!$F$128*100)</f>
        <v>NaN</v>
      </c>
      <c r="Q234" s="109" t="str">
        <f>IF('Experimental Procedure'!$H$128=0,"NaN",'Intel T265'!M234/'Experimental Procedure'!$H$128*100)</f>
        <v>NaN</v>
      </c>
    </row>
    <row r="235" spans="4:17" x14ac:dyDescent="0.25">
      <c r="D235" s="73"/>
      <c r="E235" s="9" t="s">
        <v>135</v>
      </c>
      <c r="F235" s="19">
        <v>1.7346999999999999</v>
      </c>
      <c r="G235" s="49">
        <v>90.276709999999994</v>
      </c>
      <c r="H235" s="87"/>
      <c r="I235" s="90"/>
      <c r="J235" s="19">
        <f>'Intel T265'!F235-'Experimental Procedure'!$C$129</f>
        <v>0.3347</v>
      </c>
      <c r="K235" s="87"/>
      <c r="L235" s="49">
        <f>IF('Intel T265'!G235-'Experimental Procedure'!$D$129&lt;-180,'Intel T265'!G235-'Experimental Procedure'!$D$129 + 360,IF('Intel T265'!G235-'Experimental Procedure'!$D$129&gt;180,'Intel T265'!G235-'Experimental Procedure'!$D$129 - 360,'Intel T265'!G235-'Experimental Procedure'!$D$129))</f>
        <v>0.27670999999999424</v>
      </c>
      <c r="M235" s="90"/>
      <c r="N235" s="52" t="str">
        <f>IF('Experimental Procedure'!$E$129=0,"NaN",J235/'Experimental Procedure'!$E$129*100)</f>
        <v>NaN</v>
      </c>
      <c r="O235" s="93"/>
      <c r="P235" s="52" t="str">
        <f>IF('Experimental Procedure'!$F$129=0,"NaN",L235/'Experimental Procedure'!$F$129*100)</f>
        <v>NaN</v>
      </c>
      <c r="Q235" s="110"/>
    </row>
    <row r="236" spans="4:17" ht="15.75" thickBot="1" x14ac:dyDescent="0.3">
      <c r="D236" s="74"/>
      <c r="E236" s="10" t="s">
        <v>136</v>
      </c>
      <c r="F236" s="21">
        <v>-5.9130000000000002E-2</v>
      </c>
      <c r="G236" s="50">
        <v>359.05610000000001</v>
      </c>
      <c r="H236" s="88"/>
      <c r="I236" s="91"/>
      <c r="J236" s="21">
        <f>'Intel T265'!F236-'Experimental Procedure'!$C$130</f>
        <v>-5.9130000000000002E-2</v>
      </c>
      <c r="K236" s="88"/>
      <c r="L236" s="50">
        <f>IF('Intel T265'!G236-'Experimental Procedure'!$D$130&lt;-180,'Intel T265'!G236-'Experimental Procedure'!$D$130 + 360,IF('Intel T265'!G236-'Experimental Procedure'!$D$130&gt;180,'Intel T265'!G236-'Experimental Procedure'!$D$130 - 360,'Intel T265'!G236-'Experimental Procedure'!$D$130))</f>
        <v>-0.94389999999998508</v>
      </c>
      <c r="M236" s="91"/>
      <c r="N236" s="53" t="str">
        <f>IF('Experimental Procedure'!$E$130=0,"NaN",J236/'Experimental Procedure'!$E$130*100)</f>
        <v>NaN</v>
      </c>
      <c r="O236" s="94"/>
      <c r="P236" s="53" t="str">
        <f>IF('Experimental Procedure'!$F$130=0,"NaN",L236/'Experimental Procedure'!$F$130*100)</f>
        <v>NaN</v>
      </c>
      <c r="Q236" s="111"/>
    </row>
    <row r="237" spans="4:17" x14ac:dyDescent="0.25">
      <c r="D237" s="83" t="s">
        <v>192</v>
      </c>
      <c r="E237" s="8" t="s">
        <v>134</v>
      </c>
      <c r="F237" s="17">
        <v>6.0269000000000004</v>
      </c>
      <c r="G237" s="48">
        <v>352.65600000000001</v>
      </c>
      <c r="H237" s="86">
        <f>SQRT((F234-F237)^2+(F235-F238)^2+(F236-F239)^2)</f>
        <v>1.6380267605295709</v>
      </c>
      <c r="I237" s="89">
        <v>89.543532738576445</v>
      </c>
      <c r="J237" s="17">
        <f>'Intel T265'!F237-'Experimental Procedure'!$C$131</f>
        <v>2.6900000000000368E-2</v>
      </c>
      <c r="K237" s="86">
        <f t="shared" ref="K237" si="67">SQRT(J237^2+J238^2+J239^2)</f>
        <v>3.3199202430179299E-2</v>
      </c>
      <c r="L237" s="48">
        <f>IF('Intel T265'!G237-'Experimental Procedure'!$D$131&lt;-180,'Intel T265'!G237-'Experimental Procedure'!$D$131 + 360,IF('Intel T265'!G237-'Experimental Procedure'!$D$131&gt;180,'Intel T265'!G237-'Experimental Procedure'!$D$131 - 360,'Intel T265'!G237-'Experimental Procedure'!$D$131))</f>
        <v>-7.3439999999999941</v>
      </c>
      <c r="M237" s="89">
        <v>7.477328763039889</v>
      </c>
      <c r="N237" s="51" t="str">
        <f>IF('Experimental Procedure'!$E$131=0,"NaN",J237/'Experimental Procedure'!$E$131*100)</f>
        <v>NaN</v>
      </c>
      <c r="O237" s="92" t="str">
        <f>IF('Experimental Procedure'!$G$131=0,"NaN",'Intel T265'!K237/'Experimental Procedure'!$G$131*100)</f>
        <v>NaN</v>
      </c>
      <c r="P237" s="51" t="str">
        <f>IF('Experimental Procedure'!$F$131=0,"NaN",L237/'Experimental Procedure'!$F$131*100)</f>
        <v>NaN</v>
      </c>
      <c r="Q237" s="109">
        <f>IF('Experimental Procedure'!$H$131=0,"NaN",'Intel T265'!M237/'Experimental Procedure'!$H$131*100)</f>
        <v>8.3081430700443235</v>
      </c>
    </row>
    <row r="238" spans="4:17" x14ac:dyDescent="0.25">
      <c r="D238" s="84"/>
      <c r="E238" s="9" t="s">
        <v>135</v>
      </c>
      <c r="F238" s="19">
        <v>1.416779</v>
      </c>
      <c r="G238" s="49">
        <v>0.81510000000000005</v>
      </c>
      <c r="H238" s="87"/>
      <c r="I238" s="90"/>
      <c r="J238" s="19">
        <f>'Intel T265'!F238-'Experimental Procedure'!$C$132</f>
        <v>1.6779000000000099E-2</v>
      </c>
      <c r="K238" s="87"/>
      <c r="L238" s="49">
        <f>IF('Intel T265'!G238-'Experimental Procedure'!$D$132&lt;-180,'Intel T265'!G238-'Experimental Procedure'!$D$132 + 360,IF('Intel T265'!G238-'Experimental Procedure'!$D$132&gt;180,'Intel T265'!G238-'Experimental Procedure'!$D$132 - 360,'Intel T265'!G238-'Experimental Procedure'!$D$132))</f>
        <v>0.81510000000000005</v>
      </c>
      <c r="M238" s="90"/>
      <c r="N238" s="52" t="str">
        <f>IF('Experimental Procedure'!$E$132=0,"NaN",J238/'Experimental Procedure'!$E$132*100)</f>
        <v>NaN</v>
      </c>
      <c r="O238" s="93"/>
      <c r="P238" s="52">
        <f>IF('Experimental Procedure'!$F$132=0,"NaN",L238/'Experimental Procedure'!$F$132*100)</f>
        <v>0.90566666666666673</v>
      </c>
      <c r="Q238" s="110"/>
    </row>
    <row r="239" spans="4:17" ht="15.75" thickBot="1" x14ac:dyDescent="0.3">
      <c r="D239" s="85"/>
      <c r="E239" s="10" t="s">
        <v>136</v>
      </c>
      <c r="F239" s="21">
        <v>9.8510000000000004E-3</v>
      </c>
      <c r="G239" s="50">
        <v>358.8</v>
      </c>
      <c r="H239" s="88"/>
      <c r="I239" s="91"/>
      <c r="J239" s="21">
        <f>'Intel T265'!F239-'Experimental Procedure'!$C$133</f>
        <v>9.8510000000000004E-3</v>
      </c>
      <c r="K239" s="88"/>
      <c r="L239" s="50">
        <f>IF('Intel T265'!G239-'Experimental Procedure'!$D$133&lt;-180,'Intel T265'!G239-'Experimental Procedure'!$D$133 + 360,IF('Intel T265'!G239-'Experimental Procedure'!$D$133&gt;180,'Intel T265'!G239-'Experimental Procedure'!$D$133 - 360,'Intel T265'!G239-'Experimental Procedure'!$D$133))</f>
        <v>-1.1999999999999886</v>
      </c>
      <c r="M239" s="91"/>
      <c r="N239" s="53" t="str">
        <f>IF('Experimental Procedure'!$E$133=0,"NaN",J239/'Experimental Procedure'!$E$133*100)</f>
        <v>NaN</v>
      </c>
      <c r="O239" s="94"/>
      <c r="P239" s="53" t="str">
        <f>IF('Experimental Procedure'!$F$133=0,"NaN",L239/'Experimental Procedure'!$F$133*100)</f>
        <v>NaN</v>
      </c>
      <c r="Q239" s="111"/>
    </row>
    <row r="240" spans="4:17" x14ac:dyDescent="0.25">
      <c r="D240" s="72" t="s">
        <v>189</v>
      </c>
      <c r="E240" s="8" t="s">
        <v>134</v>
      </c>
      <c r="F240" s="17">
        <v>6.1844910000000004</v>
      </c>
      <c r="G240" s="48">
        <v>353.85</v>
      </c>
      <c r="H240" s="86">
        <f>SQRT((F237-F240)^2+(F238-F241)^2+(F239-F242)^2)</f>
        <v>3.6875819588021366</v>
      </c>
      <c r="I240" s="89">
        <v>1.5607020385440042</v>
      </c>
      <c r="J240" s="17">
        <f>'Intel T265'!F240-'Experimental Procedure'!$C$110</f>
        <v>0.1844910000000004</v>
      </c>
      <c r="K240" s="86">
        <f t="shared" ref="K240" si="68">SQRT(J240^2+J241^2+J242^2)</f>
        <v>0.37582060545026014</v>
      </c>
      <c r="L240" s="48">
        <f>IF('Intel T265'!G240-'Experimental Procedure'!$D$110&lt;-180,'Intel T265'!G240-'Experimental Procedure'!$D$110 + 360,IF('Intel T265'!G240-'Experimental Procedure'!$D$110&gt;180,'Intel T265'!G240-'Experimental Procedure'!$D$110 - 360,'Intel T265'!G240-'Experimental Procedure'!$D$110))</f>
        <v>-6.1499999999999773</v>
      </c>
      <c r="M240" s="89">
        <v>6.4580116883753913</v>
      </c>
      <c r="N240" s="51" t="str">
        <f>IF('Experimental Procedure'!$E$110=0,"NaN",J240/'Experimental Procedure'!$E$110*100)</f>
        <v>NaN</v>
      </c>
      <c r="O240" s="92">
        <f>IF('Experimental Procedure'!$G$110=0,"NaN",'Intel T265'!K240/'Experimental Procedure'!$G$110*100)</f>
        <v>9.3955151362565026</v>
      </c>
      <c r="P240" s="51" t="str">
        <f>IF('Experimental Procedure'!$F$110=0,"NaN",L240/'Experimental Procedure'!$F$110*100)</f>
        <v>NaN</v>
      </c>
      <c r="Q240" s="109" t="str">
        <f>IF('Experimental Procedure'!$H$110=0,"NaN",'Intel T265'!M240/'Experimental Procedure'!$H$110*100)</f>
        <v>NaN</v>
      </c>
    </row>
    <row r="241" spans="4:17" x14ac:dyDescent="0.25">
      <c r="D241" s="73"/>
      <c r="E241" s="9" t="s">
        <v>135</v>
      </c>
      <c r="F241" s="19">
        <v>1.51328</v>
      </c>
      <c r="G241" s="49">
        <v>0.252</v>
      </c>
      <c r="H241" s="87"/>
      <c r="I241" s="90"/>
      <c r="J241" s="19">
        <f>'Intel T265'!F241-'Experimental Procedure'!$C$111</f>
        <v>0.11328000000000005</v>
      </c>
      <c r="K241" s="87"/>
      <c r="L241" s="49">
        <f>IF('Intel T265'!G241-'Experimental Procedure'!$D$111&lt;-180,'Intel T265'!G241-'Experimental Procedure'!$D$111 + 360,IF('Intel T265'!G241-'Experimental Procedure'!$D$111&gt;180,'Intel T265'!G241-'Experimental Procedure'!$D$111 - 360,'Intel T265'!G241-'Experimental Procedure'!$D$111))</f>
        <v>0.252</v>
      </c>
      <c r="M241" s="90"/>
      <c r="N241" s="52" t="str">
        <f>IF('Experimental Procedure'!$E$111=0,"NaN",J241/'Experimental Procedure'!$E$111*100)</f>
        <v>NaN</v>
      </c>
      <c r="O241" s="93"/>
      <c r="P241" s="52" t="str">
        <f>IF('Experimental Procedure'!$F$111=0,"NaN",L241/'Experimental Procedure'!$F$111*100)</f>
        <v>NaN</v>
      </c>
      <c r="Q241" s="110"/>
    </row>
    <row r="242" spans="4:17" ht="15.75" thickBot="1" x14ac:dyDescent="0.3">
      <c r="D242" s="74"/>
      <c r="E242" s="10" t="s">
        <v>136</v>
      </c>
      <c r="F242" s="21">
        <v>3.6928000000000001</v>
      </c>
      <c r="G242" s="50">
        <v>358.03100000000001</v>
      </c>
      <c r="H242" s="88"/>
      <c r="I242" s="91"/>
      <c r="J242" s="21">
        <f>'Intel T265'!F242-'Experimental Procedure'!$C$112</f>
        <v>-0.30719999999999992</v>
      </c>
      <c r="K242" s="88"/>
      <c r="L242" s="50">
        <f>IF('Intel T265'!G242-'Experimental Procedure'!$D$112&lt;-180,'Intel T265'!G242-'Experimental Procedure'!$D$112 + 360,IF('Intel T265'!G242-'Experimental Procedure'!$D$112&gt;180,'Intel T265'!G242-'Experimental Procedure'!$D$112 - 360,'Intel T265'!G242-'Experimental Procedure'!$D$112))</f>
        <v>-1.9689999999999941</v>
      </c>
      <c r="M242" s="91"/>
      <c r="N242" s="53">
        <f>IF('Experimental Procedure'!$E$112=0,"NaN",J242/'Experimental Procedure'!$E$112*100)</f>
        <v>-7.6799999999999979</v>
      </c>
      <c r="O242" s="94"/>
      <c r="P242" s="53" t="str">
        <f>IF('Experimental Procedure'!$F$112=0,"NaN",L242/'Experimental Procedure'!$F$112*100)</f>
        <v>NaN</v>
      </c>
      <c r="Q242" s="111"/>
    </row>
    <row r="243" spans="4:17" x14ac:dyDescent="0.25">
      <c r="D243" s="72" t="s">
        <v>191</v>
      </c>
      <c r="E243" s="8" t="s">
        <v>134</v>
      </c>
      <c r="F243" s="17">
        <v>6.1181999999999999</v>
      </c>
      <c r="G243" s="48">
        <v>352.98899999999998</v>
      </c>
      <c r="H243" s="86">
        <f>SQRT((F240-F243)^2+(F241-F244)^2+(F242-F245)^2)</f>
        <v>0.19246402697906959</v>
      </c>
      <c r="I243" s="89">
        <v>89.514017695382663</v>
      </c>
      <c r="J243" s="17">
        <f>'Intel T265'!F243-'Experimental Procedure'!$C$113</f>
        <v>0.11819999999999986</v>
      </c>
      <c r="K243" s="86">
        <f t="shared" ref="K243" si="69">SQRT(J243^2+J244^2+J245^2)</f>
        <v>0.51598493873368034</v>
      </c>
      <c r="L243" s="48">
        <f>IF('Intel T265'!G243-'Experimental Procedure'!$D$113&lt;-180,'Intel T265'!G243-'Experimental Procedure'!$D$113 + 360,IF('Intel T265'!G243-'Experimental Procedure'!$D$113&gt;180,'Intel T265'!G243-'Experimental Procedure'!$D$113 - 360,'Intel T265'!G243-'Experimental Procedure'!$D$113))</f>
        <v>-7.0110000000000241</v>
      </c>
      <c r="M243" s="89">
        <v>7.0573362615259372</v>
      </c>
      <c r="N243" s="51" t="str">
        <f>IF('Experimental Procedure'!$E$113=0,"NaN",J243/'Experimental Procedure'!$E$113*100)</f>
        <v>NaN</v>
      </c>
      <c r="O243" s="92" t="str">
        <f>IF('Experimental Procedure'!$G$113=0,"NaN",'Intel T265'!K243/'Experimental Procedure'!$G$113*100)</f>
        <v>NaN</v>
      </c>
      <c r="P243" s="51" t="str">
        <f>IF('Experimental Procedure'!$F$113=0,"NaN",L243/'Experimental Procedure'!$F$113*100)</f>
        <v>NaN</v>
      </c>
      <c r="Q243" s="109">
        <f>IF('Experimental Procedure'!$H$113=0,"NaN",'Intel T265'!M243/'Experimental Procedure'!$H$113*100)</f>
        <v>7.8414847350288195</v>
      </c>
    </row>
    <row r="244" spans="4:17" x14ac:dyDescent="0.25">
      <c r="D244" s="73"/>
      <c r="E244" s="9" t="s">
        <v>135</v>
      </c>
      <c r="F244" s="19">
        <v>1.51979</v>
      </c>
      <c r="G244" s="49">
        <v>270.47300000000001</v>
      </c>
      <c r="H244" s="87"/>
      <c r="I244" s="90"/>
      <c r="J244" s="19">
        <f>'Intel T265'!F244-'Experimental Procedure'!$C$114</f>
        <v>0.11979000000000006</v>
      </c>
      <c r="K244" s="87"/>
      <c r="L244" s="49">
        <f>IF('Intel T265'!G244-'Experimental Procedure'!$D$114&lt;-180,'Intel T265'!G244-'Experimental Procedure'!$D$114 + 360,IF('Intel T265'!G244-'Experimental Procedure'!$D$114&gt;180,'Intel T265'!G244-'Experimental Procedure'!$D$114 - 360,'Intel T265'!G244-'Experimental Procedure'!$D$114))</f>
        <v>0.47300000000001319</v>
      </c>
      <c r="M244" s="90"/>
      <c r="N244" s="52" t="str">
        <f>IF('Experimental Procedure'!$E$114=0,"NaN",J244/'Experimental Procedure'!$E$114*100)</f>
        <v>NaN</v>
      </c>
      <c r="O244" s="93"/>
      <c r="P244" s="52">
        <f>IF('Experimental Procedure'!$F$114=0,"NaN",L244/'Experimental Procedure'!$F$114*100)</f>
        <v>0.52555555555557021</v>
      </c>
      <c r="Q244" s="110"/>
    </row>
    <row r="245" spans="4:17" ht="15.75" thickBot="1" x14ac:dyDescent="0.3">
      <c r="D245" s="74"/>
      <c r="E245" s="10" t="s">
        <v>136</v>
      </c>
      <c r="F245" s="21">
        <v>3.5122300000000002</v>
      </c>
      <c r="G245" s="50">
        <v>0.62661699999999998</v>
      </c>
      <c r="H245" s="88"/>
      <c r="I245" s="91"/>
      <c r="J245" s="21">
        <f>'Intel T265'!F245-'Experimental Procedure'!$C$115</f>
        <v>-0.48776999999999981</v>
      </c>
      <c r="K245" s="88"/>
      <c r="L245" s="50">
        <f>IF('Intel T265'!G245-'Experimental Procedure'!$D$115&lt;-180,'Intel T265'!G245-'Experimental Procedure'!$D$115 + 360,IF('Intel T265'!G245-'Experimental Procedure'!$D$115&gt;180,'Intel T265'!G245-'Experimental Procedure'!$D$115 - 360,'Intel T265'!G245-'Experimental Procedure'!$D$115))</f>
        <v>0.62661699999999998</v>
      </c>
      <c r="M245" s="91"/>
      <c r="N245" s="53" t="str">
        <f>IF('Experimental Procedure'!$E$115=0,"NaN",J245/'Experimental Procedure'!$E$115*100)</f>
        <v>NaN</v>
      </c>
      <c r="O245" s="94"/>
      <c r="P245" s="53" t="str">
        <f>IF('Experimental Procedure'!$F$115=0,"NaN",L245/'Experimental Procedure'!$F$115*100)</f>
        <v>NaN</v>
      </c>
      <c r="Q245" s="111"/>
    </row>
    <row r="246" spans="4:17" x14ac:dyDescent="0.25">
      <c r="D246" s="72" t="s">
        <v>188</v>
      </c>
      <c r="E246" s="8" t="s">
        <v>134</v>
      </c>
      <c r="F246" s="17">
        <v>2.2545999999999999</v>
      </c>
      <c r="G246" s="48">
        <v>353.78300000000002</v>
      </c>
      <c r="H246" s="86">
        <f>SQRT((F243-F246)^2+(F244-F247)^2+(F245-F248)^2)</f>
        <v>3.8683433196510619</v>
      </c>
      <c r="I246" s="89">
        <v>1.9879049010011791</v>
      </c>
      <c r="J246" s="17">
        <f>'Intel T265'!F246-'Experimental Procedure'!$C$116</f>
        <v>2.2545999999999999</v>
      </c>
      <c r="K246" s="86">
        <f t="shared" ref="K246" si="70">SQRT(J246^2+J247^2+J248^2)</f>
        <v>2.2902757720914306</v>
      </c>
      <c r="L246" s="48">
        <f>IF('Intel T265'!G246-'Experimental Procedure'!$D$116&lt;-180,'Intel T265'!G246-'Experimental Procedure'!$D$116 + 360,IF('Intel T265'!G246-'Experimental Procedure'!$D$116&gt;180,'Intel T265'!G246-'Experimental Procedure'!$D$116 - 360,'Intel T265'!G246-'Experimental Procedure'!$D$116))</f>
        <v>-6.2169999999999845</v>
      </c>
      <c r="M246" s="89">
        <v>6.3342873455917106</v>
      </c>
      <c r="N246" s="51">
        <f>IF('Experimental Procedure'!$E$116=0,"NaN",J246/'Experimental Procedure'!$E$116*100)</f>
        <v>37.576666666666661</v>
      </c>
      <c r="O246" s="92">
        <f>IF('Experimental Procedure'!$G$116=0,"NaN",'Intel T265'!K246/'Experimental Procedure'!$G$116*100)</f>
        <v>38.17126286819051</v>
      </c>
      <c r="P246" s="51" t="str">
        <f>IF('Experimental Procedure'!$F$116=0,"NaN",L246/'Experimental Procedure'!$F$116*100)</f>
        <v>NaN</v>
      </c>
      <c r="Q246" s="109" t="str">
        <f>IF('Experimental Procedure'!$H$116=0,"NaN",'Intel T265'!M246/'Experimental Procedure'!$H$116*100)</f>
        <v>NaN</v>
      </c>
    </row>
    <row r="247" spans="4:17" x14ac:dyDescent="0.25">
      <c r="D247" s="73"/>
      <c r="E247" s="9" t="s">
        <v>135</v>
      </c>
      <c r="F247" s="19">
        <v>1.349823</v>
      </c>
      <c r="G247" s="49">
        <v>268.78500000000003</v>
      </c>
      <c r="H247" s="87"/>
      <c r="I247" s="90"/>
      <c r="J247" s="19">
        <f>'Intel T265'!F247-'Experimental Procedure'!$C$117</f>
        <v>-5.0176999999999916E-2</v>
      </c>
      <c r="K247" s="87"/>
      <c r="L247" s="49">
        <f>IF('Intel T265'!G247-'Experimental Procedure'!$D$117&lt;-180,'Intel T265'!G247-'Experimental Procedure'!$D$117 + 360,IF('Intel T265'!G247-'Experimental Procedure'!$D$117&gt;180,'Intel T265'!G247-'Experimental Procedure'!$D$117 - 360,'Intel T265'!G247-'Experimental Procedure'!$D$117))</f>
        <v>-1.214999999999975</v>
      </c>
      <c r="M247" s="90"/>
      <c r="N247" s="52" t="str">
        <f>IF('Experimental Procedure'!$E$117=0,"NaN",J247/'Experimental Procedure'!$E$117*100)</f>
        <v>NaN</v>
      </c>
      <c r="O247" s="93"/>
      <c r="P247" s="52" t="str">
        <f>IF('Experimental Procedure'!$F$117=0,"NaN",L247/'Experimental Procedure'!$F$117*100)</f>
        <v>NaN</v>
      </c>
      <c r="Q247" s="110"/>
    </row>
    <row r="248" spans="4:17" ht="15.75" thickBot="1" x14ac:dyDescent="0.3">
      <c r="D248" s="74"/>
      <c r="E248" s="10" t="s">
        <v>136</v>
      </c>
      <c r="F248" s="21">
        <v>3.6004700000000001</v>
      </c>
      <c r="G248" s="50">
        <v>0.107</v>
      </c>
      <c r="H248" s="88"/>
      <c r="I248" s="91"/>
      <c r="J248" s="21">
        <f>'Intel T265'!F248-'Experimental Procedure'!$C$118</f>
        <v>-0.39952999999999994</v>
      </c>
      <c r="K248" s="88"/>
      <c r="L248" s="50">
        <f>IF('Intel T265'!G248-'Experimental Procedure'!$D$118&lt;-180,'Intel T265'!G248-'Experimental Procedure'!$D$118 + 360,IF('Intel T265'!G248-'Experimental Procedure'!$D$118&gt;180,'Intel T265'!G248-'Experimental Procedure'!$D$118 - 360,'Intel T265'!G248-'Experimental Procedure'!$D$118))</f>
        <v>0.107</v>
      </c>
      <c r="M248" s="91"/>
      <c r="N248" s="53" t="str">
        <f>IF('Experimental Procedure'!$E$118=0,"NaN",J248/'Experimental Procedure'!$E$118*100)</f>
        <v>NaN</v>
      </c>
      <c r="O248" s="94"/>
      <c r="P248" s="53" t="str">
        <f>IF('Experimental Procedure'!$F$118=0,"NaN",L248/'Experimental Procedure'!$F$118*100)</f>
        <v>NaN</v>
      </c>
      <c r="Q248" s="111"/>
    </row>
    <row r="249" spans="4:17" x14ac:dyDescent="0.25">
      <c r="D249" s="72" t="s">
        <v>191</v>
      </c>
      <c r="E249" s="8" t="s">
        <v>134</v>
      </c>
      <c r="F249" s="17">
        <v>2.3242799999999999</v>
      </c>
      <c r="G249" s="48">
        <v>353.97300000000001</v>
      </c>
      <c r="H249" s="86">
        <f>SQRT((F246-F249)^2+(F247-F250)^2+(F248-F251)^2)</f>
        <v>8.8211285156718944E-2</v>
      </c>
      <c r="I249" s="89">
        <v>90.589491233303306</v>
      </c>
      <c r="J249" s="17">
        <f>'Intel T265'!F249-'Experimental Procedure'!$C$119</f>
        <v>2.3242799999999999</v>
      </c>
      <c r="K249" s="86">
        <f t="shared" ref="K249" si="71">SQRT(J249^2+J250^2+J251^2)</f>
        <v>2.3531817254092382</v>
      </c>
      <c r="L249" s="48">
        <f>IF('Intel T265'!G249-'Experimental Procedure'!$D$119&lt;-180,'Intel T265'!G249-'Experimental Procedure'!$D$119 + 360,IF('Intel T265'!G249-'Experimental Procedure'!$D$119&gt;180,'Intel T265'!G249-'Experimental Procedure'!$D$119 - 360,'Intel T265'!G249-'Experimental Procedure'!$D$119))</f>
        <v>-6.0269999999999868</v>
      </c>
      <c r="M249" s="89">
        <v>6.3497781763522916</v>
      </c>
      <c r="N249" s="51" t="str">
        <f>IF('Experimental Procedure'!$E$119=0,"NaN",J249/'Experimental Procedure'!$E$119*100)</f>
        <v>NaN</v>
      </c>
      <c r="O249" s="92" t="str">
        <f>IF('Experimental Procedure'!$G$119=0,"NaN",'Intel T265'!K249/'Experimental Procedure'!$G$119*100)</f>
        <v>NaN</v>
      </c>
      <c r="P249" s="51" t="str">
        <f>IF('Experimental Procedure'!$F$119=0,"NaN",L249/'Experimental Procedure'!$F$119*100)</f>
        <v>NaN</v>
      </c>
      <c r="Q249" s="109">
        <f>IF('Experimental Procedure'!$H$119=0,"NaN",'Intel T265'!M249/'Experimental Procedure'!$H$119*100)</f>
        <v>7.0553090848358817</v>
      </c>
    </row>
    <row r="250" spans="4:17" x14ac:dyDescent="0.25">
      <c r="D250" s="73"/>
      <c r="E250" s="9" t="s">
        <v>135</v>
      </c>
      <c r="F250" s="19">
        <v>1.3935</v>
      </c>
      <c r="G250" s="49">
        <v>178.124</v>
      </c>
      <c r="H250" s="87"/>
      <c r="I250" s="90"/>
      <c r="J250" s="19">
        <f>'Intel T265'!F250-'Experimental Procedure'!$C$120</f>
        <v>-6.4999999999999503E-3</v>
      </c>
      <c r="K250" s="87"/>
      <c r="L250" s="49">
        <f>IF('Intel T265'!G250-'Experimental Procedure'!$D$120&lt;-180,'Intel T265'!G250-'Experimental Procedure'!$D$120 + 360,IF('Intel T265'!G250-'Experimental Procedure'!$D$120&gt;180,'Intel T265'!G250-'Experimental Procedure'!$D$120 - 360,'Intel T265'!G250-'Experimental Procedure'!$D$120))</f>
        <v>-1.8760000000000048</v>
      </c>
      <c r="M250" s="90"/>
      <c r="N250" s="52" t="str">
        <f>IF('Experimental Procedure'!$E$120=0,"NaN",J250/'Experimental Procedure'!$E$120*100)</f>
        <v>NaN</v>
      </c>
      <c r="O250" s="93"/>
      <c r="P250" s="52">
        <f>IF('Experimental Procedure'!$F$120=0,"NaN",L250/'Experimental Procedure'!$F$120*100)</f>
        <v>-2.0844444444444497</v>
      </c>
      <c r="Q250" s="110"/>
    </row>
    <row r="251" spans="4:17" ht="15.75" thickBot="1" x14ac:dyDescent="0.3">
      <c r="D251" s="74"/>
      <c r="E251" s="10" t="s">
        <v>136</v>
      </c>
      <c r="F251" s="21">
        <v>3.6323799999999999</v>
      </c>
      <c r="G251" s="50">
        <v>0.79810000000000003</v>
      </c>
      <c r="H251" s="88"/>
      <c r="I251" s="91"/>
      <c r="J251" s="21">
        <f>'Intel T265'!F251-'Experimental Procedure'!$C$121</f>
        <v>-0.36762000000000006</v>
      </c>
      <c r="K251" s="88"/>
      <c r="L251" s="50">
        <f>IF('Intel T265'!G251-'Experimental Procedure'!$D$121&lt;-180,'Intel T265'!G251-'Experimental Procedure'!$D$121 + 360,IF('Intel T265'!G251-'Experimental Procedure'!$D$121&gt;180,'Intel T265'!G251-'Experimental Procedure'!$D$121 - 360,'Intel T265'!G251-'Experimental Procedure'!$D$121))</f>
        <v>0.79810000000000003</v>
      </c>
      <c r="M251" s="91"/>
      <c r="N251" s="53" t="str">
        <f>IF('Experimental Procedure'!$E$121=0,"NaN",J251/'Experimental Procedure'!$E$121*100)</f>
        <v>NaN</v>
      </c>
      <c r="O251" s="94"/>
      <c r="P251" s="53" t="str">
        <f>IF('Experimental Procedure'!$F$121=0,"NaN",L251/'Experimental Procedure'!$F$121*100)</f>
        <v>NaN</v>
      </c>
      <c r="Q251" s="111"/>
    </row>
    <row r="252" spans="4:17" x14ac:dyDescent="0.25">
      <c r="D252" s="72" t="s">
        <v>190</v>
      </c>
      <c r="E252" s="8" t="s">
        <v>134</v>
      </c>
      <c r="F252" s="17">
        <v>2.486691</v>
      </c>
      <c r="G252" s="48">
        <v>354.99900000000002</v>
      </c>
      <c r="H252" s="86">
        <f>SQRT((F249-F252)^2+(F250-F253)^2+(F251-F254)^2)</f>
        <v>3.8531999711525482</v>
      </c>
      <c r="I252" s="89">
        <v>1.0550003849888272</v>
      </c>
      <c r="J252" s="17">
        <f>'Intel T265'!F252-'Experimental Procedure'!$C$122</f>
        <v>2.486691</v>
      </c>
      <c r="K252" s="86">
        <f t="shared" ref="K252" si="72">SQRT(J252^2+J253^2+J254^2)</f>
        <v>2.496357093376266</v>
      </c>
      <c r="L252" s="48">
        <f>IF('Intel T265'!G252-'Experimental Procedure'!$D$122&lt;-180,'Intel T265'!G252-'Experimental Procedure'!$D$122 + 360,IF('Intel T265'!G252-'Experimental Procedure'!$D$122&gt;180,'Intel T265'!G252-'Experimental Procedure'!$D$122 - 360,'Intel T265'!G252-'Experimental Procedure'!$D$122))</f>
        <v>-5.0009999999999764</v>
      </c>
      <c r="M252" s="89">
        <v>5.3011079333403632</v>
      </c>
      <c r="N252" s="51" t="str">
        <f>IF('Experimental Procedure'!$E$122=0,"NaN",J252/'Experimental Procedure'!$E$122*100)</f>
        <v>NaN</v>
      </c>
      <c r="O252" s="92">
        <f>IF('Experimental Procedure'!$G$122=0,"NaN",'Intel T265'!K252/'Experimental Procedure'!$G$122*100)</f>
        <v>62.408927334406648</v>
      </c>
      <c r="P252" s="51" t="str">
        <f>IF('Experimental Procedure'!$F$122=0,"NaN",L252/'Experimental Procedure'!$F$122*100)</f>
        <v>NaN</v>
      </c>
      <c r="Q252" s="109" t="str">
        <f>IF('Experimental Procedure'!$H$122=0,"NaN",'Intel T265'!M252/'Experimental Procedure'!$H$122*100)</f>
        <v>NaN</v>
      </c>
    </row>
    <row r="253" spans="4:17" x14ac:dyDescent="0.25">
      <c r="D253" s="73"/>
      <c r="E253" s="9" t="s">
        <v>135</v>
      </c>
      <c r="F253" s="19">
        <v>1.3693630000000001</v>
      </c>
      <c r="G253" s="49">
        <v>178.34</v>
      </c>
      <c r="H253" s="87"/>
      <c r="I253" s="90"/>
      <c r="J253" s="19">
        <f>'Intel T265'!F253-'Experimental Procedure'!$C$123</f>
        <v>-3.0636999999999803E-2</v>
      </c>
      <c r="K253" s="87"/>
      <c r="L253" s="49">
        <f>IF('Intel T265'!G253-'Experimental Procedure'!$D$123&lt;-180,'Intel T265'!G253-'Experimental Procedure'!$D$123 + 360,IF('Intel T265'!G253-'Experimental Procedure'!$D$123&gt;180,'Intel T265'!G253-'Experimental Procedure'!$D$123 - 360,'Intel T265'!G253-'Experimental Procedure'!$D$123))</f>
        <v>-1.6599999999999966</v>
      </c>
      <c r="M253" s="90"/>
      <c r="N253" s="52" t="str">
        <f>IF('Experimental Procedure'!$E$123=0,"NaN",J253/'Experimental Procedure'!$E$123*100)</f>
        <v>NaN</v>
      </c>
      <c r="O253" s="93"/>
      <c r="P253" s="52" t="str">
        <f>IF('Experimental Procedure'!$F$123=0,"NaN",L253/'Experimental Procedure'!$F$123*100)</f>
        <v>NaN</v>
      </c>
      <c r="Q253" s="110"/>
    </row>
    <row r="254" spans="4:17" ht="15.75" thickBot="1" x14ac:dyDescent="0.3">
      <c r="D254" s="74"/>
      <c r="E254" s="10" t="s">
        <v>136</v>
      </c>
      <c r="F254" s="21">
        <v>-0.21732000000000001</v>
      </c>
      <c r="G254" s="50">
        <v>0.65849000000000002</v>
      </c>
      <c r="H254" s="88"/>
      <c r="I254" s="91"/>
      <c r="J254" s="21">
        <f>'Intel T265'!F254-'Experimental Procedure'!$C$124</f>
        <v>-0.21732000000000001</v>
      </c>
      <c r="K254" s="88"/>
      <c r="L254" s="50">
        <f>IF('Intel T265'!G254-'Experimental Procedure'!$D$124&lt;-180,'Intel T265'!G254-'Experimental Procedure'!$D$124 + 360,IF('Intel T265'!G254-'Experimental Procedure'!$D$124&gt;180,'Intel T265'!G254-'Experimental Procedure'!$D$124 - 360,'Intel T265'!G254-'Experimental Procedure'!$D$124))</f>
        <v>0.65849000000000002</v>
      </c>
      <c r="M254" s="91"/>
      <c r="N254" s="53">
        <f>IF('Experimental Procedure'!$E$124=0,"NaN",J254/'Experimental Procedure'!$E$124*100)</f>
        <v>-5.4330000000000007</v>
      </c>
      <c r="O254" s="94"/>
      <c r="P254" s="53" t="str">
        <f>IF('Experimental Procedure'!$F$124=0,"NaN",L254/'Experimental Procedure'!$F$124*100)</f>
        <v>NaN</v>
      </c>
      <c r="Q254" s="111"/>
    </row>
    <row r="255" spans="4:17" x14ac:dyDescent="0.25">
      <c r="D255" s="72" t="s">
        <v>191</v>
      </c>
      <c r="E255" s="8" t="s">
        <v>134</v>
      </c>
      <c r="F255" s="17">
        <v>2.4996999999999998</v>
      </c>
      <c r="G255" s="48">
        <v>353.65</v>
      </c>
      <c r="H255" s="86">
        <f>SQRT((F252-F255)^2+(F253-F256)^2+(F254-F257)^2)</f>
        <v>9.8198129714572355E-2</v>
      </c>
      <c r="I255" s="89">
        <v>91.224203285291551</v>
      </c>
      <c r="J255" s="17">
        <f>'Intel T265'!F255-'Experimental Procedure'!$C$125</f>
        <v>2.4996999999999998</v>
      </c>
      <c r="K255" s="86">
        <f t="shared" ref="K255" si="73">SQRT(J255^2+J256^2+J257^2)</f>
        <v>2.5048049759487143</v>
      </c>
      <c r="L255" s="48">
        <f>IF('Intel T265'!G255-'Experimental Procedure'!$D$125&lt;-180,'Intel T265'!G255-'Experimental Procedure'!$D$125 + 360,IF('Intel T265'!G255-'Experimental Procedure'!$D$125&gt;180,'Intel T265'!G255-'Experimental Procedure'!$D$125 - 360,'Intel T265'!G255-'Experimental Procedure'!$D$125))</f>
        <v>-6.3500000000000227</v>
      </c>
      <c r="M255" s="89">
        <v>7.0100965305431302</v>
      </c>
      <c r="N255" s="51" t="str">
        <f>IF('Experimental Procedure'!$E$125=0,"NaN",J255/'Experimental Procedure'!$E$125*100)</f>
        <v>NaN</v>
      </c>
      <c r="O255" s="92" t="str">
        <f>IF('Experimental Procedure'!$G$125=0,"NaN",'Intel T265'!K255/'Experimental Procedure'!$G$125*100)</f>
        <v>NaN</v>
      </c>
      <c r="P255" s="51" t="str">
        <f>IF('Experimental Procedure'!$F$125=0,"NaN",L255/'Experimental Procedure'!$F$125*100)</f>
        <v>NaN</v>
      </c>
      <c r="Q255" s="109">
        <f>IF('Experimental Procedure'!$H$125=0,"NaN",'Intel T265'!M255/'Experimental Procedure'!$H$125*100)</f>
        <v>7.788996145047923</v>
      </c>
    </row>
    <row r="256" spans="4:17" x14ac:dyDescent="0.25">
      <c r="D256" s="73"/>
      <c r="E256" s="9" t="s">
        <v>135</v>
      </c>
      <c r="F256" s="19">
        <v>1.44319</v>
      </c>
      <c r="G256" s="49">
        <v>87.313999999999993</v>
      </c>
      <c r="H256" s="87"/>
      <c r="I256" s="90"/>
      <c r="J256" s="19">
        <f>'Intel T265'!F256-'Experimental Procedure'!$C$126</f>
        <v>4.3190000000000062E-2</v>
      </c>
      <c r="K256" s="87"/>
      <c r="L256" s="49">
        <f>IF('Intel T265'!G256-'Experimental Procedure'!$D$126&lt;-180,'Intel T265'!G256-'Experimental Procedure'!$D$126 + 360,IF('Intel T265'!G256-'Experimental Procedure'!$D$126&gt;180,'Intel T265'!G256-'Experimental Procedure'!$D$126 - 360,'Intel T265'!G256-'Experimental Procedure'!$D$126))</f>
        <v>-2.686000000000007</v>
      </c>
      <c r="M256" s="90"/>
      <c r="N256" s="52" t="str">
        <f>IF('Experimental Procedure'!$E$126=0,"NaN",J256/'Experimental Procedure'!$E$126*100)</f>
        <v>NaN</v>
      </c>
      <c r="O256" s="93"/>
      <c r="P256" s="52">
        <f>IF('Experimental Procedure'!$F$126=0,"NaN",L256/'Experimental Procedure'!$F$126*100)</f>
        <v>-2.9844444444444522</v>
      </c>
      <c r="Q256" s="110"/>
    </row>
    <row r="257" spans="4:17" ht="15.75" thickBot="1" x14ac:dyDescent="0.3">
      <c r="D257" s="74"/>
      <c r="E257" s="10" t="s">
        <v>136</v>
      </c>
      <c r="F257" s="21">
        <v>-0.15389120000000001</v>
      </c>
      <c r="G257" s="50">
        <v>358.87</v>
      </c>
      <c r="H257" s="88"/>
      <c r="I257" s="91"/>
      <c r="J257" s="21">
        <f>'Intel T265'!F257-'Experimental Procedure'!$C$127</f>
        <v>-0.15389120000000001</v>
      </c>
      <c r="K257" s="88"/>
      <c r="L257" s="50">
        <f>IF('Intel T265'!G257-'Experimental Procedure'!$D$127&lt;-180,'Intel T265'!G257-'Experimental Procedure'!$D$127 + 360,IF('Intel T265'!G257-'Experimental Procedure'!$D$127&gt;180,'Intel T265'!G257-'Experimental Procedure'!$D$127 - 360,'Intel T265'!G257-'Experimental Procedure'!$D$127))</f>
        <v>-1.1299999999999955</v>
      </c>
      <c r="M257" s="91"/>
      <c r="N257" s="53" t="str">
        <f>IF('Experimental Procedure'!$E$127=0,"NaN",J257/'Experimental Procedure'!$E$127*100)</f>
        <v>NaN</v>
      </c>
      <c r="O257" s="94"/>
      <c r="P257" s="53" t="str">
        <f>IF('Experimental Procedure'!$F$127=0,"NaN",L257/'Experimental Procedure'!$F$127*100)</f>
        <v>NaN</v>
      </c>
      <c r="Q257" s="111"/>
    </row>
    <row r="258" spans="4:17" x14ac:dyDescent="0.25">
      <c r="D258" s="72" t="s">
        <v>180</v>
      </c>
      <c r="E258" s="8" t="s">
        <v>134</v>
      </c>
      <c r="F258" s="17">
        <v>6.16113</v>
      </c>
      <c r="G258" s="48">
        <v>356.101</v>
      </c>
      <c r="H258" s="86">
        <f>SQRT((F255-F258)^2+(F256-F259)^2+(F257-F260)^2)</f>
        <v>3.6622125668013101</v>
      </c>
      <c r="I258" s="89">
        <v>3.7054699994153371</v>
      </c>
      <c r="J258" s="17">
        <f>'Intel T265'!F258-'Experimental Procedure'!$C$128</f>
        <v>0.16113</v>
      </c>
      <c r="K258" s="86">
        <f t="shared" ref="K258" si="74">SQRT(J258^2+J259^2+J260^2)</f>
        <v>0.18191516401883598</v>
      </c>
      <c r="L258" s="48">
        <f>IF('Intel T265'!G258-'Experimental Procedure'!$D$128&lt;-180,'Intel T265'!G258-'Experimental Procedure'!$D$128 + 360,IF('Intel T265'!G258-'Experimental Procedure'!$D$128&gt;180,'Intel T265'!G258-'Experimental Procedure'!$D$128 - 360,'Intel T265'!G258-'Experimental Procedure'!$D$128))</f>
        <v>-3.8990000000000009</v>
      </c>
      <c r="M258" s="89">
        <v>4.1393930410891926</v>
      </c>
      <c r="N258" s="51">
        <f>IF('Experimental Procedure'!$E$128=0,"NaN",J258/'Experimental Procedure'!$E$128*100)</f>
        <v>2.6855000000000002</v>
      </c>
      <c r="O258" s="92">
        <f>IF('Experimental Procedure'!$G$128=0,"NaN",'Intel T265'!K258/'Experimental Procedure'!$G$128*100)</f>
        <v>3.0319194003139329</v>
      </c>
      <c r="P258" s="51" t="str">
        <f>IF('Experimental Procedure'!$F$128=0,"NaN",L258/'Experimental Procedure'!$F$128*100)</f>
        <v>NaN</v>
      </c>
      <c r="Q258" s="109" t="str">
        <f>IF('Experimental Procedure'!$H$128=0,"NaN",'Intel T265'!M258/'Experimental Procedure'!$H$128*100)</f>
        <v>NaN</v>
      </c>
    </row>
    <row r="259" spans="4:17" x14ac:dyDescent="0.25">
      <c r="D259" s="73"/>
      <c r="E259" s="9" t="s">
        <v>135</v>
      </c>
      <c r="F259" s="19">
        <v>1.4179999999999999</v>
      </c>
      <c r="G259" s="49">
        <v>90.104399999999998</v>
      </c>
      <c r="H259" s="87"/>
      <c r="I259" s="90"/>
      <c r="J259" s="19">
        <f>'Intel T265'!F259-'Experimental Procedure'!$C$129</f>
        <v>1.8000000000000016E-2</v>
      </c>
      <c r="K259" s="87"/>
      <c r="L259" s="49">
        <f>IF('Intel T265'!G259-'Experimental Procedure'!$D$129&lt;-180,'Intel T265'!G259-'Experimental Procedure'!$D$129 + 360,IF('Intel T265'!G259-'Experimental Procedure'!$D$129&gt;180,'Intel T265'!G259-'Experimental Procedure'!$D$129 - 360,'Intel T265'!G259-'Experimental Procedure'!$D$129))</f>
        <v>0.10439999999999827</v>
      </c>
      <c r="M259" s="90"/>
      <c r="N259" s="52" t="str">
        <f>IF('Experimental Procedure'!$E$129=0,"NaN",J259/'Experimental Procedure'!$E$129*100)</f>
        <v>NaN</v>
      </c>
      <c r="O259" s="93"/>
      <c r="P259" s="52" t="str">
        <f>IF('Experimental Procedure'!$F$129=0,"NaN",L259/'Experimental Procedure'!$F$129*100)</f>
        <v>NaN</v>
      </c>
      <c r="Q259" s="110"/>
    </row>
    <row r="260" spans="4:17" ht="15.75" thickBot="1" x14ac:dyDescent="0.3">
      <c r="D260" s="74"/>
      <c r="E260" s="10" t="s">
        <v>136</v>
      </c>
      <c r="F260" s="21">
        <v>-8.2500000000000004E-2</v>
      </c>
      <c r="G260" s="50">
        <v>358.61</v>
      </c>
      <c r="H260" s="88"/>
      <c r="I260" s="91"/>
      <c r="J260" s="21">
        <f>'Intel T265'!F260-'Experimental Procedure'!$C$130</f>
        <v>-8.2500000000000004E-2</v>
      </c>
      <c r="K260" s="88"/>
      <c r="L260" s="50">
        <f>IF('Intel T265'!G260-'Experimental Procedure'!$D$130&lt;-180,'Intel T265'!G260-'Experimental Procedure'!$D$130 + 360,IF('Intel T265'!G260-'Experimental Procedure'!$D$130&gt;180,'Intel T265'!G260-'Experimental Procedure'!$D$130 - 360,'Intel T265'!G260-'Experimental Procedure'!$D$130))</f>
        <v>-1.3899999999999864</v>
      </c>
      <c r="M260" s="91"/>
      <c r="N260" s="53" t="str">
        <f>IF('Experimental Procedure'!$E$130=0,"NaN",J260/'Experimental Procedure'!$E$130*100)</f>
        <v>NaN</v>
      </c>
      <c r="O260" s="94"/>
      <c r="P260" s="53" t="str">
        <f>IF('Experimental Procedure'!$F$130=0,"NaN",L260/'Experimental Procedure'!$F$130*100)</f>
        <v>NaN</v>
      </c>
      <c r="Q260" s="111"/>
    </row>
    <row r="261" spans="4:17" x14ac:dyDescent="0.25">
      <c r="D261" s="83" t="s">
        <v>192</v>
      </c>
      <c r="E261" s="8" t="s">
        <v>134</v>
      </c>
      <c r="F261" s="17">
        <v>6.0054999999999996</v>
      </c>
      <c r="G261" s="48">
        <v>350.59100000000001</v>
      </c>
      <c r="H261" s="86">
        <f>SQRT((F258-F261)^2+(F259-F262)^2+(F260-F263)^2)</f>
        <v>0.17288620824114376</v>
      </c>
      <c r="I261" s="89">
        <v>92.234254046120654</v>
      </c>
      <c r="J261" s="17">
        <f>'Intel T265'!F261-'Experimental Procedure'!$C$131</f>
        <v>5.4999999999996163E-3</v>
      </c>
      <c r="K261" s="86">
        <f t="shared" ref="K261" si="75">SQRT(J261^2+J262^2+J263^2)</f>
        <v>2.0692851422653237E-2</v>
      </c>
      <c r="L261" s="48">
        <f>IF('Intel T265'!G261-'Experimental Procedure'!$D$131&lt;-180,'Intel T265'!G261-'Experimental Procedure'!$D$131 + 360,IF('Intel T265'!G261-'Experimental Procedure'!$D$131&gt;180,'Intel T265'!G261-'Experimental Procedure'!$D$131 - 360,'Intel T265'!G261-'Experimental Procedure'!$D$131))</f>
        <v>-9.4089999999999918</v>
      </c>
      <c r="M261" s="89">
        <v>9.7912770005590275</v>
      </c>
      <c r="N261" s="51" t="str">
        <f>IF('Experimental Procedure'!$E$131=0,"NaN",J261/'Experimental Procedure'!$E$131*100)</f>
        <v>NaN</v>
      </c>
      <c r="O261" s="92" t="str">
        <f>IF('Experimental Procedure'!$G$131=0,"NaN",'Intel T265'!K261/'Experimental Procedure'!$G$131*100)</f>
        <v>NaN</v>
      </c>
      <c r="P261" s="51" t="str">
        <f>IF('Experimental Procedure'!$F$131=0,"NaN",L261/'Experimental Procedure'!$F$131*100)</f>
        <v>NaN</v>
      </c>
      <c r="Q261" s="109">
        <f>IF('Experimental Procedure'!$H$131=0,"NaN",'Intel T265'!M261/'Experimental Procedure'!$H$131*100)</f>
        <v>10.879196667287811</v>
      </c>
    </row>
    <row r="262" spans="4:17" x14ac:dyDescent="0.25">
      <c r="D262" s="84"/>
      <c r="E262" s="9" t="s">
        <v>135</v>
      </c>
      <c r="F262" s="19">
        <v>1.4186000000000001</v>
      </c>
      <c r="G262" s="49">
        <v>358.036</v>
      </c>
      <c r="H262" s="87"/>
      <c r="I262" s="90"/>
      <c r="J262" s="19">
        <f>'Intel T265'!F262-'Experimental Procedure'!$C$132</f>
        <v>1.8600000000000172E-2</v>
      </c>
      <c r="K262" s="87"/>
      <c r="L262" s="49">
        <f>IF('Intel T265'!G262-'Experimental Procedure'!$D$132&lt;-180,'Intel T265'!G262-'Experimental Procedure'!$D$132 + 360,IF('Intel T265'!G262-'Experimental Procedure'!$D$132&gt;180,'Intel T265'!G262-'Experimental Procedure'!$D$132 - 360,'Intel T265'!G262-'Experimental Procedure'!$D$132))</f>
        <v>-1.9639999999999986</v>
      </c>
      <c r="M262" s="90"/>
      <c r="N262" s="52" t="str">
        <f>IF('Experimental Procedure'!$E$132=0,"NaN",J262/'Experimental Procedure'!$E$132*100)</f>
        <v>NaN</v>
      </c>
      <c r="O262" s="93"/>
      <c r="P262" s="52">
        <f>IF('Experimental Procedure'!$F$132=0,"NaN",L262/'Experimental Procedure'!$F$132*100)</f>
        <v>-2.182222222222221</v>
      </c>
      <c r="Q262" s="110"/>
    </row>
    <row r="263" spans="4:17" ht="15.75" thickBot="1" x14ac:dyDescent="0.3">
      <c r="D263" s="85"/>
      <c r="E263" s="10" t="s">
        <v>136</v>
      </c>
      <c r="F263" s="21">
        <v>-7.2100000000000003E-3</v>
      </c>
      <c r="G263" s="50">
        <v>358.28399999999999</v>
      </c>
      <c r="H263" s="88"/>
      <c r="I263" s="91"/>
      <c r="J263" s="21">
        <f>'Intel T265'!F263-'Experimental Procedure'!$C$133</f>
        <v>-7.2100000000000003E-3</v>
      </c>
      <c r="K263" s="88"/>
      <c r="L263" s="50">
        <f>IF('Intel T265'!G263-'Experimental Procedure'!$D$133&lt;-180,'Intel T265'!G263-'Experimental Procedure'!$D$133 + 360,IF('Intel T265'!G263-'Experimental Procedure'!$D$133&gt;180,'Intel T265'!G263-'Experimental Procedure'!$D$133 - 360,'Intel T265'!G263-'Experimental Procedure'!$D$133))</f>
        <v>-1.7160000000000082</v>
      </c>
      <c r="M263" s="91"/>
      <c r="N263" s="53" t="str">
        <f>IF('Experimental Procedure'!$E$133=0,"NaN",J263/'Experimental Procedure'!$E$133*100)</f>
        <v>NaN</v>
      </c>
      <c r="O263" s="94"/>
      <c r="P263" s="53" t="str">
        <f>IF('Experimental Procedure'!$F$133=0,"NaN",L263/'Experimental Procedure'!$F$133*100)</f>
        <v>NaN</v>
      </c>
      <c r="Q263" s="111"/>
    </row>
    <row r="264" spans="4:17" ht="15.75" thickBot="1" x14ac:dyDescent="0.3">
      <c r="D264" s="15" t="s">
        <v>173</v>
      </c>
      <c r="E264" s="29"/>
      <c r="F264" s="29"/>
      <c r="G264" s="54"/>
      <c r="H264" s="54"/>
      <c r="I264" s="66"/>
      <c r="J264" s="54"/>
      <c r="K264" s="54"/>
      <c r="L264" s="54"/>
      <c r="M264" s="54"/>
      <c r="N264" s="54"/>
      <c r="O264" s="54"/>
      <c r="P264" s="54"/>
      <c r="Q264" s="54"/>
    </row>
    <row r="265" spans="4:17" ht="15.75" thickBot="1" x14ac:dyDescent="0.3">
      <c r="D265" s="75" t="s">
        <v>177</v>
      </c>
      <c r="E265" s="76"/>
      <c r="F265" s="16" t="s">
        <v>137</v>
      </c>
      <c r="G265" s="23" t="s">
        <v>197</v>
      </c>
      <c r="H265" s="16" t="s">
        <v>178</v>
      </c>
      <c r="I265" s="65" t="s">
        <v>179</v>
      </c>
      <c r="J265" s="16" t="s">
        <v>143</v>
      </c>
      <c r="K265" s="34" t="s">
        <v>168</v>
      </c>
      <c r="L265" s="23" t="s">
        <v>144</v>
      </c>
      <c r="M265" s="12" t="s">
        <v>167</v>
      </c>
      <c r="N265" s="16" t="s">
        <v>141</v>
      </c>
      <c r="O265" s="16" t="s">
        <v>171</v>
      </c>
      <c r="P265" s="23" t="s">
        <v>142</v>
      </c>
      <c r="Q265" s="23" t="s">
        <v>172</v>
      </c>
    </row>
    <row r="266" spans="4:17" x14ac:dyDescent="0.25">
      <c r="D266" s="72" t="s">
        <v>180</v>
      </c>
      <c r="E266" s="35" t="s">
        <v>134</v>
      </c>
      <c r="F266" s="18">
        <f>AVERAGE(F107,F160,F213)</f>
        <v>6.004056666666667</v>
      </c>
      <c r="G266" s="48">
        <f>AVERAGE(IF(G107&gt;180,G107-360,IF(G107&lt;-180,G107+360,G107)),IF(G160&gt;180,G160-360,IF(G160&lt;-180,G160+360,G160)),IF(G213&gt;180,G213-360,IF(G213&lt;-180,G213+360,G213)))</f>
        <v>2.9794966666666611</v>
      </c>
      <c r="H266" s="101">
        <v>0</v>
      </c>
      <c r="I266" s="89">
        <v>0</v>
      </c>
      <c r="J266" s="17">
        <f>'Intel T265'!F266-'Experimental Procedure'!$C$107</f>
        <v>4.0566666666670415E-3</v>
      </c>
      <c r="K266" s="95">
        <f>SQRT(J266^2+J267^2+J268^2)</f>
        <v>9.3358538084814795E-3</v>
      </c>
      <c r="L266" s="48">
        <f>IF('Intel T265'!G266-'Experimental Procedure'!$D$107&lt;-180,'Intel T265'!G266-'Experimental Procedure'!$D$107 + 360,IF('Intel T265'!G266-'Experimental Procedure'!$D$107&gt;180,'Intel T265'!G266-'Experimental Procedure'!$D$107 - 360,'Intel T265'!G266-'Experimental Procedure'!$D$107))</f>
        <v>2.9794966666666611</v>
      </c>
      <c r="M266" s="106">
        <f>(M107+M160+M213)/3</f>
        <v>4.1564474918393399</v>
      </c>
      <c r="N266" s="51" t="str">
        <f>IF('Experimental Procedure'!$E$107=0,"NaN",J266/'Experimental Procedure'!$E$107*100)</f>
        <v>NaN</v>
      </c>
      <c r="O266" s="92" t="str">
        <f>IF('Experimental Procedure'!$G$107=0,"NaN",'Intel T265'!K266/'Experimental Procedure'!$G$107*100)</f>
        <v>NaN</v>
      </c>
      <c r="P266" s="51" t="str">
        <f>IF('Experimental Procedure'!$F$107=0,"NaN",L266/'Experimental Procedure'!$F$107*100)</f>
        <v>NaN</v>
      </c>
      <c r="Q266" s="109" t="str">
        <f>IF('Experimental Procedure'!$H$107=0,"NaN",'Intel T265'!M266/'Experimental Procedure'!$H$107*100)</f>
        <v>NaN</v>
      </c>
    </row>
    <row r="267" spans="4:17" x14ac:dyDescent="0.25">
      <c r="D267" s="73"/>
      <c r="E267" s="35" t="s">
        <v>135</v>
      </c>
      <c r="F267" s="20">
        <f t="shared" ref="F267:F316" si="76">AVERAGE(F108,F161,F214)</f>
        <v>1.4036903333333335</v>
      </c>
      <c r="G267" s="49">
        <f t="shared" ref="G267:G316" si="77">AVERAGE(IF(G108&gt;180,G108-360,IF(G108&lt;-180,G108+360,G108)),IF(G161&gt;180,G161-360,IF(G161&lt;-180,G161+360,G161)),IF(G214&gt;180,G214-360,IF(G214&lt;-180,G214+360,G214)))</f>
        <v>5.0233333333349062E-2</v>
      </c>
      <c r="H267" s="102"/>
      <c r="I267" s="90"/>
      <c r="J267" s="19">
        <f>'Intel T265'!F267-'Experimental Procedure'!$C$108</f>
        <v>3.6903333333335731E-3</v>
      </c>
      <c r="K267" s="96"/>
      <c r="L267" s="49">
        <f>IF('Intel T265'!G267-'Experimental Procedure'!$D$108&lt;-180,'Intel T265'!G267-'Experimental Procedure'!$D$108 + 360,IF('Intel T265'!G267-'Experimental Procedure'!$D$108&gt;180,'Intel T265'!G267-'Experimental Procedure'!$D$108 - 360,'Intel T265'!G267-'Experimental Procedure'!$D$108))</f>
        <v>5.0233333333349062E-2</v>
      </c>
      <c r="M267" s="107"/>
      <c r="N267" s="52" t="str">
        <f>IF('Experimental Procedure'!$E$108=0,"NaN",J267/'Experimental Procedure'!$E$108*100)</f>
        <v>NaN</v>
      </c>
      <c r="O267" s="93"/>
      <c r="P267" s="52" t="str">
        <f>IF('Experimental Procedure'!$F$108=0,"NaN",L267/'Experimental Procedure'!$F$108*100)</f>
        <v>NaN</v>
      </c>
      <c r="Q267" s="110"/>
    </row>
    <row r="268" spans="4:17" ht="15.75" thickBot="1" x14ac:dyDescent="0.3">
      <c r="D268" s="74"/>
      <c r="E268" s="36" t="s">
        <v>136</v>
      </c>
      <c r="F268" s="22">
        <f t="shared" si="76"/>
        <v>7.5553333333333332E-3</v>
      </c>
      <c r="G268" s="50">
        <f t="shared" si="77"/>
        <v>2.3400000000009562E-2</v>
      </c>
      <c r="H268" s="103"/>
      <c r="I268" s="91"/>
      <c r="J268" s="21">
        <f>'Intel T265'!F268-'Experimental Procedure'!$C$109</f>
        <v>7.5553333333333332E-3</v>
      </c>
      <c r="K268" s="97"/>
      <c r="L268" s="50">
        <f>IF('Intel T265'!G268-'Experimental Procedure'!$D$109&lt;-180,'Intel T265'!G268-'Experimental Procedure'!$D$109 + 360,IF('Intel T265'!G268-'Experimental Procedure'!$D$109&gt;180,'Intel T265'!G268-'Experimental Procedure'!$D$109 - 360,'Intel T265'!G268-'Experimental Procedure'!$D$109))</f>
        <v>2.3400000000009562E-2</v>
      </c>
      <c r="M268" s="108"/>
      <c r="N268" s="53" t="str">
        <f>IF('Experimental Procedure'!$E$109=0,"NaN",J268/'Experimental Procedure'!$E$109*100)</f>
        <v>NaN</v>
      </c>
      <c r="O268" s="94"/>
      <c r="P268" s="53" t="str">
        <f>IF('Experimental Procedure'!$F$109=0,"NaN",L268/'Experimental Procedure'!$F$109*100)</f>
        <v>NaN</v>
      </c>
      <c r="Q268" s="111"/>
    </row>
    <row r="269" spans="4:17" x14ac:dyDescent="0.25">
      <c r="D269" s="72" t="s">
        <v>189</v>
      </c>
      <c r="E269" s="8" t="s">
        <v>134</v>
      </c>
      <c r="F269" s="17">
        <f t="shared" si="76"/>
        <v>6.0979843333333328</v>
      </c>
      <c r="G269" s="48">
        <f t="shared" si="77"/>
        <v>-2.7337666666666678</v>
      </c>
      <c r="H269" s="86">
        <f>SQRT((F266-F269)^2+(F267-F270)^2+(F268-F271)^2)</f>
        <v>3.5349968260075171</v>
      </c>
      <c r="I269" s="89"/>
      <c r="J269" s="17">
        <f>'Intel T265'!F269-'Experimental Procedure'!$C$110</f>
        <v>9.7984333333332785E-2</v>
      </c>
      <c r="K269" s="86">
        <f t="shared" ref="K269" si="78">SQRT(J269^2+J270^2+J271^2)</f>
        <v>0.469218129063185</v>
      </c>
      <c r="L269" s="48">
        <f>IF('Intel T265'!G269-'Experimental Procedure'!$D$110&lt;-180,'Intel T265'!G269-'Experimental Procedure'!$D$110 + 360,IF('Intel T265'!G269-'Experimental Procedure'!$D$110&gt;180,'Intel T265'!G269-'Experimental Procedure'!$D$110 - 360,'Intel T265'!G269-'Experimental Procedure'!$D$110))</f>
        <v>-2.7337666666666678</v>
      </c>
      <c r="M269" s="106">
        <f t="shared" ref="M269" si="79">(M110+M163+M216)/3</f>
        <v>3.8798294004569041</v>
      </c>
      <c r="N269" s="51" t="str">
        <f>IF('Experimental Procedure'!$E$110=0,"NaN",J269/'Experimental Procedure'!$E$110*100)</f>
        <v>NaN</v>
      </c>
      <c r="O269" s="92">
        <f>IF('Experimental Procedure'!$G$110=0,"NaN",'Intel T265'!K269/'Experimental Procedure'!$G$110*100)</f>
        <v>11.730453226579625</v>
      </c>
      <c r="P269" s="51" t="str">
        <f>IF('Experimental Procedure'!$F$110=0,"NaN",L269/'Experimental Procedure'!$F$110*100)</f>
        <v>NaN</v>
      </c>
      <c r="Q269" s="109" t="str">
        <f>IF('Experimental Procedure'!$H$110=0,"NaN",'Intel T265'!M269/'Experimental Procedure'!$H$110*100)</f>
        <v>NaN</v>
      </c>
    </row>
    <row r="270" spans="4:17" x14ac:dyDescent="0.25">
      <c r="D270" s="73"/>
      <c r="E270" s="9" t="s">
        <v>135</v>
      </c>
      <c r="F270" s="19">
        <f t="shared" si="76"/>
        <v>1.388479</v>
      </c>
      <c r="G270" s="49">
        <f t="shared" si="77"/>
        <v>0.28665766666666143</v>
      </c>
      <c r="H270" s="87"/>
      <c r="I270" s="90"/>
      <c r="J270" s="19">
        <f>'Intel T265'!F270-'Experimental Procedure'!$C$111</f>
        <v>-1.1520999999999892E-2</v>
      </c>
      <c r="K270" s="87"/>
      <c r="L270" s="49">
        <f>IF('Intel T265'!G270-'Experimental Procedure'!$D$111&lt;-180,'Intel T265'!G270-'Experimental Procedure'!$D$111 + 360,IF('Intel T265'!G270-'Experimental Procedure'!$D$111&gt;180,'Intel T265'!G270-'Experimental Procedure'!$D$111 - 360,'Intel T265'!G270-'Experimental Procedure'!$D$111))</f>
        <v>0.28665766666666143</v>
      </c>
      <c r="M270" s="107"/>
      <c r="N270" s="52" t="str">
        <f>IF('Experimental Procedure'!$E$111=0,"NaN",J270/'Experimental Procedure'!$E$111*100)</f>
        <v>NaN</v>
      </c>
      <c r="O270" s="93"/>
      <c r="P270" s="52" t="str">
        <f>IF('Experimental Procedure'!$F$111=0,"NaN",L270/'Experimental Procedure'!$F$111*100)</f>
        <v>NaN</v>
      </c>
      <c r="Q270" s="110"/>
    </row>
    <row r="271" spans="4:17" ht="15.75" thickBot="1" x14ac:dyDescent="0.3">
      <c r="D271" s="74"/>
      <c r="E271" s="10" t="s">
        <v>136</v>
      </c>
      <c r="F271" s="21">
        <f t="shared" si="76"/>
        <v>3.541271333333333</v>
      </c>
      <c r="G271" s="50">
        <f t="shared" si="77"/>
        <v>1.1504499999999991</v>
      </c>
      <c r="H271" s="88"/>
      <c r="I271" s="91"/>
      <c r="J271" s="21">
        <f>'Intel T265'!F271-'Experimental Procedure'!$C$112</f>
        <v>-0.45872866666666701</v>
      </c>
      <c r="K271" s="88"/>
      <c r="L271" s="50">
        <f>IF('Intel T265'!G271-'Experimental Procedure'!$D$112&lt;-180,'Intel T265'!G271-'Experimental Procedure'!$D$112 + 360,IF('Intel T265'!G271-'Experimental Procedure'!$D$112&gt;180,'Intel T265'!G271-'Experimental Procedure'!$D$112 - 360,'Intel T265'!G271-'Experimental Procedure'!$D$112))</f>
        <v>1.1504499999999991</v>
      </c>
      <c r="M271" s="108"/>
      <c r="N271" s="53">
        <f>IF('Experimental Procedure'!$E$112=0,"NaN",J271/'Experimental Procedure'!$E$112*100)</f>
        <v>-11.468216666666676</v>
      </c>
      <c r="O271" s="94"/>
      <c r="P271" s="53" t="str">
        <f>IF('Experimental Procedure'!$F$112=0,"NaN",L271/'Experimental Procedure'!$F$112*100)</f>
        <v>NaN</v>
      </c>
      <c r="Q271" s="111"/>
    </row>
    <row r="272" spans="4:17" x14ac:dyDescent="0.25">
      <c r="D272" s="72" t="s">
        <v>191</v>
      </c>
      <c r="E272" s="8" t="s">
        <v>134</v>
      </c>
      <c r="F272" s="17">
        <f t="shared" si="76"/>
        <v>6.0292233333333334</v>
      </c>
      <c r="G272" s="48">
        <f t="shared" si="77"/>
        <v>-4.1761333333333441</v>
      </c>
      <c r="H272" s="86">
        <f>SQRT((F269-F272)^2+(F270-F273)^2+(F271-F274)^2)</f>
        <v>0.13846790731349146</v>
      </c>
      <c r="I272" s="89"/>
      <c r="J272" s="17">
        <f>'Intel T265'!F272-'Experimental Procedure'!$C$113</f>
        <v>2.9223333333333379E-2</v>
      </c>
      <c r="K272" s="86">
        <f t="shared" ref="K272" si="80">SQRT(J272^2+J273^2+J274^2)</f>
        <v>0.57962228522259807</v>
      </c>
      <c r="L272" s="48">
        <f>IF('Intel T265'!G272-'Experimental Procedure'!$D$113&lt;-180,'Intel T265'!G272-'Experimental Procedure'!$D$113 + 360,IF('Intel T265'!G272-'Experimental Procedure'!$D$113&gt;180,'Intel T265'!G272-'Experimental Procedure'!$D$113 - 360,'Intel T265'!G272-'Experimental Procedure'!$D$113))</f>
        <v>-4.1761333333333441</v>
      </c>
      <c r="M272" s="106">
        <f t="shared" ref="M272" si="81">(M113+M166+M219)/3</f>
        <v>4.4709331960157206</v>
      </c>
      <c r="N272" s="51" t="str">
        <f>IF('Experimental Procedure'!$E$113=0,"NaN",J272/'Experimental Procedure'!$E$113*100)</f>
        <v>NaN</v>
      </c>
      <c r="O272" s="92" t="str">
        <f>IF('Experimental Procedure'!$G$113=0,"NaN",'Intel T265'!K272/'Experimental Procedure'!$G$113*100)</f>
        <v>NaN</v>
      </c>
      <c r="P272" s="51" t="str">
        <f>IF('Experimental Procedure'!$F$113=0,"NaN",L272/'Experimental Procedure'!$F$113*100)</f>
        <v>NaN</v>
      </c>
      <c r="Q272" s="109">
        <f>IF('Experimental Procedure'!$H$113=0,"NaN",'Intel T265'!M272/'Experimental Procedure'!$H$113*100)</f>
        <v>4.9677035511285785</v>
      </c>
    </row>
    <row r="273" spans="4:17" x14ac:dyDescent="0.25">
      <c r="D273" s="73"/>
      <c r="E273" s="9" t="s">
        <v>135</v>
      </c>
      <c r="F273" s="19">
        <f t="shared" si="76"/>
        <v>1.3781513333333333</v>
      </c>
      <c r="G273" s="49">
        <f t="shared" si="77"/>
        <v>-89.398633333333308</v>
      </c>
      <c r="H273" s="87"/>
      <c r="I273" s="90"/>
      <c r="J273" s="19">
        <f>'Intel T265'!F273-'Experimental Procedure'!$C$114</f>
        <v>-2.1848666666666627E-2</v>
      </c>
      <c r="K273" s="87"/>
      <c r="L273" s="49">
        <f>IF('Intel T265'!G273-'Experimental Procedure'!$D$114&lt;-180,'Intel T265'!G273-'Experimental Procedure'!$D$114 + 360,IF('Intel T265'!G273-'Experimental Procedure'!$D$114&gt;180,'Intel T265'!G273-'Experimental Procedure'!$D$114 - 360,'Intel T265'!G273-'Experimental Procedure'!$D$114))</f>
        <v>0.60136666666670635</v>
      </c>
      <c r="M273" s="107"/>
      <c r="N273" s="52" t="str">
        <f>IF('Experimental Procedure'!$E$114=0,"NaN",J273/'Experimental Procedure'!$E$114*100)</f>
        <v>NaN</v>
      </c>
      <c r="O273" s="93"/>
      <c r="P273" s="52">
        <f>IF('Experimental Procedure'!$F$114=0,"NaN",L273/'Experimental Procedure'!$F$114*100)</f>
        <v>0.66818518518522929</v>
      </c>
      <c r="Q273" s="110"/>
    </row>
    <row r="274" spans="4:17" ht="15.75" thickBot="1" x14ac:dyDescent="0.3">
      <c r="D274" s="74"/>
      <c r="E274" s="10" t="s">
        <v>136</v>
      </c>
      <c r="F274" s="21">
        <f t="shared" si="76"/>
        <v>3.4215273333333331</v>
      </c>
      <c r="G274" s="50">
        <f t="shared" si="77"/>
        <v>1.1097036666666573</v>
      </c>
      <c r="H274" s="88"/>
      <c r="I274" s="91"/>
      <c r="J274" s="21">
        <f>'Intel T265'!F274-'Experimental Procedure'!$C$115</f>
        <v>-0.57847266666666686</v>
      </c>
      <c r="K274" s="88"/>
      <c r="L274" s="50">
        <f>IF('Intel T265'!G274-'Experimental Procedure'!$D$115&lt;-180,'Intel T265'!G274-'Experimental Procedure'!$D$115 + 360,IF('Intel T265'!G274-'Experimental Procedure'!$D$115&gt;180,'Intel T265'!G274-'Experimental Procedure'!$D$115 - 360,'Intel T265'!G274-'Experimental Procedure'!$D$115))</f>
        <v>1.1097036666666573</v>
      </c>
      <c r="M274" s="108"/>
      <c r="N274" s="53" t="str">
        <f>IF('Experimental Procedure'!$E$115=0,"NaN",J274/'Experimental Procedure'!$E$115*100)</f>
        <v>NaN</v>
      </c>
      <c r="O274" s="94"/>
      <c r="P274" s="53" t="str">
        <f>IF('Experimental Procedure'!$F$115=0,"NaN",L274/'Experimental Procedure'!$F$115*100)</f>
        <v>NaN</v>
      </c>
      <c r="Q274" s="111"/>
    </row>
    <row r="275" spans="4:17" x14ac:dyDescent="0.25">
      <c r="D275" s="72" t="s">
        <v>188</v>
      </c>
      <c r="E275" s="9" t="s">
        <v>134</v>
      </c>
      <c r="F275" s="17">
        <f t="shared" si="76"/>
        <v>0.63284633333333329</v>
      </c>
      <c r="G275" s="48">
        <f t="shared" si="77"/>
        <v>-4.9370333333333365</v>
      </c>
      <c r="H275" s="86">
        <f>SQRT((F272-F275)^2+(F273-F276)^2+(F274-F277)^2)</f>
        <v>5.3964443128434016</v>
      </c>
      <c r="I275" s="89"/>
      <c r="J275" s="17">
        <f>'Intel T265'!F275-'Experimental Procedure'!$C$116</f>
        <v>0.63284633333333329</v>
      </c>
      <c r="K275" s="86">
        <f t="shared" ref="K275" si="82">SQRT(J275^2+J276^2+J277^2)</f>
        <v>0.85165883930042985</v>
      </c>
      <c r="L275" s="48">
        <f>IF('Intel T265'!G275-'Experimental Procedure'!$D$116&lt;-180,'Intel T265'!G275-'Experimental Procedure'!$D$116 + 360,IF('Intel T265'!G275-'Experimental Procedure'!$D$116&gt;180,'Intel T265'!G275-'Experimental Procedure'!$D$116 - 360,'Intel T265'!G275-'Experimental Procedure'!$D$116))</f>
        <v>-4.9370333333333365</v>
      </c>
      <c r="M275" s="106">
        <f t="shared" ref="M275" si="83">(M116+M169+M222)/3</f>
        <v>5.475431619721256</v>
      </c>
      <c r="N275" s="51">
        <f>IF('Experimental Procedure'!$E$116=0,"NaN",J275/'Experimental Procedure'!$E$116*100)</f>
        <v>10.547438888888887</v>
      </c>
      <c r="O275" s="92">
        <f>IF('Experimental Procedure'!$G$116=0,"NaN",'Intel T265'!K275/'Experimental Procedure'!$G$116*100)</f>
        <v>14.194313988340499</v>
      </c>
      <c r="P275" s="51" t="str">
        <f>IF('Experimental Procedure'!$F$116=0,"NaN",L275/'Experimental Procedure'!$F$116*100)</f>
        <v>NaN</v>
      </c>
      <c r="Q275" s="109" t="str">
        <f>IF('Experimental Procedure'!$H$116=0,"NaN",'Intel T265'!M275/'Experimental Procedure'!$H$116*100)</f>
        <v>NaN</v>
      </c>
    </row>
    <row r="276" spans="4:17" x14ac:dyDescent="0.25">
      <c r="D276" s="73"/>
      <c r="E276" s="9" t="s">
        <v>135</v>
      </c>
      <c r="F276" s="19">
        <f t="shared" si="76"/>
        <v>1.4037136666666667</v>
      </c>
      <c r="G276" s="49">
        <f t="shared" si="77"/>
        <v>-89.944700000000012</v>
      </c>
      <c r="H276" s="87"/>
      <c r="I276" s="90"/>
      <c r="J276" s="19">
        <f>'Intel T265'!F276-'Experimental Procedure'!$C$117</f>
        <v>3.7136666666668372E-3</v>
      </c>
      <c r="K276" s="87"/>
      <c r="L276" s="49">
        <f>IF('Intel T265'!G276-'Experimental Procedure'!$D$117&lt;-180,'Intel T265'!G276-'Experimental Procedure'!$D$117 + 360,IF('Intel T265'!G276-'Experimental Procedure'!$D$117&gt;180,'Intel T265'!G276-'Experimental Procedure'!$D$117 - 360,'Intel T265'!G276-'Experimental Procedure'!$D$117))</f>
        <v>5.5299999999988358E-2</v>
      </c>
      <c r="M276" s="107"/>
      <c r="N276" s="52" t="str">
        <f>IF('Experimental Procedure'!$E$117=0,"NaN",J276/'Experimental Procedure'!$E$117*100)</f>
        <v>NaN</v>
      </c>
      <c r="O276" s="93"/>
      <c r="P276" s="52" t="str">
        <f>IF('Experimental Procedure'!$F$117=0,"NaN",L276/'Experimental Procedure'!$F$117*100)</f>
        <v>NaN</v>
      </c>
      <c r="Q276" s="110"/>
    </row>
    <row r="277" spans="4:17" ht="15.75" thickBot="1" x14ac:dyDescent="0.3">
      <c r="D277" s="74"/>
      <c r="E277" s="10" t="s">
        <v>136</v>
      </c>
      <c r="F277" s="21">
        <f t="shared" si="76"/>
        <v>3.430075</v>
      </c>
      <c r="G277" s="50">
        <f t="shared" si="77"/>
        <v>1.6177973333333335</v>
      </c>
      <c r="H277" s="88"/>
      <c r="I277" s="91"/>
      <c r="J277" s="21">
        <f>'Intel T265'!F277-'Experimental Procedure'!$C$118</f>
        <v>-0.56992500000000001</v>
      </c>
      <c r="K277" s="88"/>
      <c r="L277" s="50">
        <f>IF('Intel T265'!G277-'Experimental Procedure'!$D$118&lt;-180,'Intel T265'!G277-'Experimental Procedure'!$D$118 + 360,IF('Intel T265'!G277-'Experimental Procedure'!$D$118&gt;180,'Intel T265'!G277-'Experimental Procedure'!$D$118 - 360,'Intel T265'!G277-'Experimental Procedure'!$D$118))</f>
        <v>1.6177973333333335</v>
      </c>
      <c r="M277" s="108"/>
      <c r="N277" s="53" t="str">
        <f>IF('Experimental Procedure'!$E$118=0,"NaN",J277/'Experimental Procedure'!$E$118*100)</f>
        <v>NaN</v>
      </c>
      <c r="O277" s="94"/>
      <c r="P277" s="53" t="str">
        <f>IF('Experimental Procedure'!$F$118=0,"NaN",L277/'Experimental Procedure'!$F$118*100)</f>
        <v>NaN</v>
      </c>
      <c r="Q277" s="111"/>
    </row>
    <row r="278" spans="4:17" x14ac:dyDescent="0.25">
      <c r="D278" s="72" t="s">
        <v>191</v>
      </c>
      <c r="E278" s="8" t="s">
        <v>134</v>
      </c>
      <c r="F278" s="17">
        <f t="shared" si="76"/>
        <v>0.72554823666666657</v>
      </c>
      <c r="G278" s="48">
        <f t="shared" si="77"/>
        <v>-6.2458999999999874</v>
      </c>
      <c r="H278" s="86">
        <f>SQRT((F275-F278)^2+(F276-F279)^2+(F277-F280)^2)</f>
        <v>0.10526047890226296</v>
      </c>
      <c r="I278" s="89"/>
      <c r="J278" s="17">
        <f>'Intel T265'!F278-'Experimental Procedure'!$C$119</f>
        <v>0.72554823666666657</v>
      </c>
      <c r="K278" s="86">
        <f t="shared" ref="K278" si="84">SQRT(J278^2+J279^2+J280^2)</f>
        <v>0.95186652995697407</v>
      </c>
      <c r="L278" s="48">
        <f>IF('Intel T265'!G278-'Experimental Procedure'!$D$119&lt;-180,'Intel T265'!G278-'Experimental Procedure'!$D$119 + 360,IF('Intel T265'!G278-'Experimental Procedure'!$D$119&gt;180,'Intel T265'!G278-'Experimental Procedure'!$D$119 - 360,'Intel T265'!G278-'Experimental Procedure'!$D$119))</f>
        <v>-6.2458999999999874</v>
      </c>
      <c r="M278" s="106">
        <f t="shared" ref="M278" si="85">(M119+M172+M225)/3</f>
        <v>7.0249314074902003</v>
      </c>
      <c r="N278" s="51" t="str">
        <f>IF('Experimental Procedure'!$E$119=0,"NaN",J278/'Experimental Procedure'!$E$119*100)</f>
        <v>NaN</v>
      </c>
      <c r="O278" s="92" t="str">
        <f>IF('Experimental Procedure'!$G$119=0,"NaN",'Intel T265'!K278/'Experimental Procedure'!$G$119*100)</f>
        <v>NaN</v>
      </c>
      <c r="P278" s="51" t="str">
        <f>IF('Experimental Procedure'!$F$119=0,"NaN",L278/'Experimental Procedure'!$F$119*100)</f>
        <v>NaN</v>
      </c>
      <c r="Q278" s="109">
        <f>IF('Experimental Procedure'!$H$119=0,"NaN",'Intel T265'!M278/'Experimental Procedure'!$H$119*100)</f>
        <v>7.8054793416557802</v>
      </c>
    </row>
    <row r="279" spans="4:17" x14ac:dyDescent="0.25">
      <c r="D279" s="73"/>
      <c r="E279" s="9" t="s">
        <v>135</v>
      </c>
      <c r="F279" s="19">
        <f t="shared" si="76"/>
        <v>1.4234986666666665</v>
      </c>
      <c r="G279" s="49">
        <f>AVERAGE(G120,G173,G226)</f>
        <v>180.07723333333331</v>
      </c>
      <c r="H279" s="87"/>
      <c r="I279" s="90"/>
      <c r="J279" s="19">
        <f>'Intel T265'!F279-'Experimental Procedure'!$C$120</f>
        <v>2.3498666666666557E-2</v>
      </c>
      <c r="K279" s="87"/>
      <c r="L279" s="49">
        <f>IF('Intel T265'!G279-'Experimental Procedure'!$D$120&lt;-180,'Intel T265'!G279-'Experimental Procedure'!$D$120 + 360,IF('Intel T265'!G279-'Experimental Procedure'!$D$120&gt;180,'Intel T265'!G279-'Experimental Procedure'!$D$120 - 360,'Intel T265'!G279-'Experimental Procedure'!$D$120))</f>
        <v>7.7233333333310838E-2</v>
      </c>
      <c r="M279" s="107"/>
      <c r="N279" s="52" t="str">
        <f>IF('Experimental Procedure'!$E$120=0,"NaN",J279/'Experimental Procedure'!$E$120*100)</f>
        <v>NaN</v>
      </c>
      <c r="O279" s="93"/>
      <c r="P279" s="52">
        <f>IF('Experimental Procedure'!$F$120=0,"NaN",L279/'Experimental Procedure'!$F$120*100)</f>
        <v>8.5814814814789822E-2</v>
      </c>
      <c r="Q279" s="110"/>
    </row>
    <row r="280" spans="4:17" ht="15.75" thickBot="1" x14ac:dyDescent="0.3">
      <c r="D280" s="74"/>
      <c r="E280" s="10" t="s">
        <v>136</v>
      </c>
      <c r="F280" s="21">
        <f t="shared" si="76"/>
        <v>3.3843073333333336</v>
      </c>
      <c r="G280" s="50">
        <f t="shared" si="77"/>
        <v>1.5101333333333369</v>
      </c>
      <c r="H280" s="88"/>
      <c r="I280" s="91"/>
      <c r="J280" s="21">
        <f>'Intel T265'!F280-'Experimental Procedure'!$C$121</f>
        <v>-0.61569266666666644</v>
      </c>
      <c r="K280" s="88"/>
      <c r="L280" s="50">
        <f>IF('Intel T265'!G280-'Experimental Procedure'!$D$121&lt;-180,'Intel T265'!G280-'Experimental Procedure'!$D$121 + 360,IF('Intel T265'!G280-'Experimental Procedure'!$D$121&gt;180,'Intel T265'!G280-'Experimental Procedure'!$D$121 - 360,'Intel T265'!G280-'Experimental Procedure'!$D$121))</f>
        <v>1.5101333333333369</v>
      </c>
      <c r="M280" s="108"/>
      <c r="N280" s="53" t="str">
        <f>IF('Experimental Procedure'!$E$121=0,"NaN",J280/'Experimental Procedure'!$E$121*100)</f>
        <v>NaN</v>
      </c>
      <c r="O280" s="94"/>
      <c r="P280" s="53" t="str">
        <f>IF('Experimental Procedure'!$F$121=0,"NaN",L280/'Experimental Procedure'!$F$121*100)</f>
        <v>NaN</v>
      </c>
      <c r="Q280" s="111"/>
    </row>
    <row r="281" spans="4:17" x14ac:dyDescent="0.25">
      <c r="D281" s="72" t="s">
        <v>190</v>
      </c>
      <c r="E281" s="8" t="s">
        <v>134</v>
      </c>
      <c r="F281" s="17">
        <f t="shared" si="76"/>
        <v>0.69287460000000001</v>
      </c>
      <c r="G281" s="48">
        <f t="shared" si="77"/>
        <v>-4.0290333333333406</v>
      </c>
      <c r="H281" s="86">
        <f>SQRT((F278-F281)^2+(F279-F282)^2+(F280-F283)^2)</f>
        <v>3.7106997240804644</v>
      </c>
      <c r="I281" s="89"/>
      <c r="J281" s="17">
        <f>'Intel T265'!F281-'Experimental Procedure'!$C$122</f>
        <v>0.69287460000000001</v>
      </c>
      <c r="K281" s="86">
        <f t="shared" ref="K281" si="86">SQRT(J281^2+J282^2+J283^2)</f>
        <v>0.76752107765286159</v>
      </c>
      <c r="L281" s="48">
        <f>IF('Intel T265'!G281-'Experimental Procedure'!$D$122&lt;-180,'Intel T265'!G281-'Experimental Procedure'!$D$122 + 360,IF('Intel T265'!G281-'Experimental Procedure'!$D$122&gt;180,'Intel T265'!G281-'Experimental Procedure'!$D$122 - 360,'Intel T265'!G281-'Experimental Procedure'!$D$122))</f>
        <v>-4.0290333333333406</v>
      </c>
      <c r="M281" s="106">
        <f t="shared" ref="M281" si="87">(M122+M175+M228)/3</f>
        <v>5.1174381918535694</v>
      </c>
      <c r="N281" s="51" t="str">
        <f>IF('Experimental Procedure'!$E$122=0,"NaN",J281/'Experimental Procedure'!$E$122*100)</f>
        <v>NaN</v>
      </c>
      <c r="O281" s="92">
        <f>IF('Experimental Procedure'!$G$122=0,"NaN",'Intel T265'!K281/'Experimental Procedure'!$G$122*100)</f>
        <v>19.188026941321539</v>
      </c>
      <c r="P281" s="51" t="str">
        <f>IF('Experimental Procedure'!$F$122=0,"NaN",L281/'Experimental Procedure'!$F$122*100)</f>
        <v>NaN</v>
      </c>
      <c r="Q281" s="109" t="str">
        <f>IF('Experimental Procedure'!$H$122=0,"NaN",'Intel T265'!M281/'Experimental Procedure'!$H$122*100)</f>
        <v>NaN</v>
      </c>
    </row>
    <row r="282" spans="4:17" x14ac:dyDescent="0.25">
      <c r="D282" s="73"/>
      <c r="E282" s="9" t="s">
        <v>135</v>
      </c>
      <c r="F282" s="19">
        <f t="shared" si="76"/>
        <v>1.4514180000000001</v>
      </c>
      <c r="G282" s="49">
        <f>AVERAGE(G123,G176,G229)</f>
        <v>178.61766666666668</v>
      </c>
      <c r="H282" s="87"/>
      <c r="I282" s="90"/>
      <c r="J282" s="19">
        <f>'Intel T265'!F282-'Experimental Procedure'!$C$123</f>
        <v>5.1418000000000186E-2</v>
      </c>
      <c r="K282" s="87"/>
      <c r="L282" s="49">
        <f>IF('Intel T265'!G282-'Experimental Procedure'!$D$123&lt;-180,'Intel T265'!G282-'Experimental Procedure'!$D$123 + 360,IF('Intel T265'!G282-'Experimental Procedure'!$D$123&gt;180,'Intel T265'!G282-'Experimental Procedure'!$D$123 - 360,'Intel T265'!G282-'Experimental Procedure'!$D$123))</f>
        <v>-1.382333333333321</v>
      </c>
      <c r="M282" s="107"/>
      <c r="N282" s="52" t="str">
        <f>IF('Experimental Procedure'!$E$123=0,"NaN",J282/'Experimental Procedure'!$E$123*100)</f>
        <v>NaN</v>
      </c>
      <c r="O282" s="93"/>
      <c r="P282" s="52" t="str">
        <f>IF('Experimental Procedure'!$F$123=0,"NaN",L282/'Experimental Procedure'!$F$123*100)</f>
        <v>NaN</v>
      </c>
      <c r="Q282" s="110"/>
    </row>
    <row r="283" spans="4:17" ht="15.75" thickBot="1" x14ac:dyDescent="0.3">
      <c r="D283" s="74"/>
      <c r="E283" s="10" t="s">
        <v>136</v>
      </c>
      <c r="F283" s="21">
        <f t="shared" si="76"/>
        <v>-0.32614349999999998</v>
      </c>
      <c r="G283" s="50">
        <f t="shared" si="77"/>
        <v>1.7957616666666756</v>
      </c>
      <c r="H283" s="88"/>
      <c r="I283" s="91"/>
      <c r="J283" s="21">
        <f>'Intel T265'!F283-'Experimental Procedure'!$C$124</f>
        <v>-0.32614349999999998</v>
      </c>
      <c r="K283" s="88"/>
      <c r="L283" s="50">
        <f>IF('Intel T265'!G283-'Experimental Procedure'!$D$124&lt;-180,'Intel T265'!G283-'Experimental Procedure'!$D$124 + 360,IF('Intel T265'!G283-'Experimental Procedure'!$D$124&gt;180,'Intel T265'!G283-'Experimental Procedure'!$D$124 - 360,'Intel T265'!G283-'Experimental Procedure'!$D$124))</f>
        <v>1.7957616666666756</v>
      </c>
      <c r="M283" s="108"/>
      <c r="N283" s="53">
        <f>IF('Experimental Procedure'!$E$124=0,"NaN",J283/'Experimental Procedure'!$E$124*100)</f>
        <v>-8.1535874999999987</v>
      </c>
      <c r="O283" s="94"/>
      <c r="P283" s="53" t="str">
        <f>IF('Experimental Procedure'!$F$124=0,"NaN",L283/'Experimental Procedure'!$F$124*100)</f>
        <v>NaN</v>
      </c>
      <c r="Q283" s="111"/>
    </row>
    <row r="284" spans="4:17" x14ac:dyDescent="0.25">
      <c r="D284" s="72" t="s">
        <v>191</v>
      </c>
      <c r="E284" s="8" t="s">
        <v>134</v>
      </c>
      <c r="F284" s="17">
        <f t="shared" si="76"/>
        <v>0.78155609999999998</v>
      </c>
      <c r="G284" s="48">
        <f t="shared" si="77"/>
        <v>-4.6245000000000118</v>
      </c>
      <c r="H284" s="86">
        <f>SQRT((F281-F284)^2+(F282-F285)^2+(F283-F286)^2)</f>
        <v>0.22790495371082753</v>
      </c>
      <c r="I284" s="89"/>
      <c r="J284" s="17">
        <f>'Intel T265'!F284-'Experimental Procedure'!$C$125</f>
        <v>0.78155609999999998</v>
      </c>
      <c r="K284" s="86">
        <f t="shared" ref="K284" si="88">SQRT(J284^2+J285^2+J286^2)</f>
        <v>0.79303875398508183</v>
      </c>
      <c r="L284" s="48">
        <f>IF('Intel T265'!G284-'Experimental Procedure'!$D$125&lt;-180,'Intel T265'!G284-'Experimental Procedure'!$D$125 + 360,IF('Intel T265'!G284-'Experimental Procedure'!$D$125&gt;180,'Intel T265'!G284-'Experimental Procedure'!$D$125 - 360,'Intel T265'!G284-'Experimental Procedure'!$D$125))</f>
        <v>-4.6245000000000118</v>
      </c>
      <c r="M284" s="106">
        <f t="shared" ref="M284" si="89">(M125+M178+M231)/3</f>
        <v>5.3601289337956244</v>
      </c>
      <c r="N284" s="51" t="str">
        <f>IF('Experimental Procedure'!$E$125=0,"NaN",J284/'Experimental Procedure'!$E$125*100)</f>
        <v>NaN</v>
      </c>
      <c r="O284" s="92" t="str">
        <f>IF('Experimental Procedure'!$G$125=0,"NaN",'Intel T265'!K284/'Experimental Procedure'!$G$125*100)</f>
        <v>NaN</v>
      </c>
      <c r="P284" s="51" t="str">
        <f>IF('Experimental Procedure'!$F$125=0,"NaN",L284/'Experimental Procedure'!$F$125*100)</f>
        <v>NaN</v>
      </c>
      <c r="Q284" s="109">
        <f>IF('Experimental Procedure'!$H$125=0,"NaN",'Intel T265'!M284/'Experimental Procedure'!$H$125*100)</f>
        <v>5.9556988153284713</v>
      </c>
    </row>
    <row r="285" spans="4:17" x14ac:dyDescent="0.25">
      <c r="D285" s="73"/>
      <c r="E285" s="9" t="s">
        <v>135</v>
      </c>
      <c r="F285" s="19">
        <f t="shared" si="76"/>
        <v>1.4666963333333334</v>
      </c>
      <c r="G285" s="49">
        <f t="shared" si="77"/>
        <v>90.105893333333327</v>
      </c>
      <c r="H285" s="87"/>
      <c r="I285" s="90"/>
      <c r="J285" s="19">
        <f>'Intel T265'!F285-'Experimental Procedure'!$C$126</f>
        <v>6.6696333333333468E-2</v>
      </c>
      <c r="K285" s="87"/>
      <c r="L285" s="49">
        <f>IF('Intel T265'!G285-'Experimental Procedure'!$D$126&lt;-180,'Intel T265'!G285-'Experimental Procedure'!$D$126 + 360,IF('Intel T265'!G285-'Experimental Procedure'!$D$126&gt;180,'Intel T265'!G285-'Experimental Procedure'!$D$126 - 360,'Intel T265'!G285-'Experimental Procedure'!$D$126))</f>
        <v>0.10589333333332718</v>
      </c>
      <c r="M285" s="107"/>
      <c r="N285" s="52" t="str">
        <f>IF('Experimental Procedure'!$E$126=0,"NaN",J285/'Experimental Procedure'!$E$126*100)</f>
        <v>NaN</v>
      </c>
      <c r="O285" s="93"/>
      <c r="P285" s="52">
        <f>IF('Experimental Procedure'!$F$126=0,"NaN",L285/'Experimental Procedure'!$F$126*100)</f>
        <v>0.11765925925925243</v>
      </c>
      <c r="Q285" s="110"/>
    </row>
    <row r="286" spans="4:17" ht="15.75" thickBot="1" x14ac:dyDescent="0.3">
      <c r="D286" s="74"/>
      <c r="E286" s="10" t="s">
        <v>136</v>
      </c>
      <c r="F286" s="21">
        <f t="shared" si="76"/>
        <v>-0.1167567</v>
      </c>
      <c r="G286" s="50">
        <f t="shared" si="77"/>
        <v>1.8845729999999998</v>
      </c>
      <c r="H286" s="88"/>
      <c r="I286" s="91"/>
      <c r="J286" s="21">
        <f>'Intel T265'!F286-'Experimental Procedure'!$C$127</f>
        <v>-0.1167567</v>
      </c>
      <c r="K286" s="88"/>
      <c r="L286" s="50">
        <f>IF('Intel T265'!G286-'Experimental Procedure'!$D$127&lt;-180,'Intel T265'!G286-'Experimental Procedure'!$D$127 + 360,IF('Intel T265'!G286-'Experimental Procedure'!$D$127&gt;180,'Intel T265'!G286-'Experimental Procedure'!$D$127 - 360,'Intel T265'!G286-'Experimental Procedure'!$D$127))</f>
        <v>1.8845729999999998</v>
      </c>
      <c r="M286" s="108"/>
      <c r="N286" s="53" t="str">
        <f>IF('Experimental Procedure'!$E$127=0,"NaN",J286/'Experimental Procedure'!$E$127*100)</f>
        <v>NaN</v>
      </c>
      <c r="O286" s="94"/>
      <c r="P286" s="53" t="str">
        <f>IF('Experimental Procedure'!$F$127=0,"NaN",L286/'Experimental Procedure'!$F$127*100)</f>
        <v>NaN</v>
      </c>
      <c r="Q286" s="111"/>
    </row>
    <row r="287" spans="4:17" x14ac:dyDescent="0.25">
      <c r="D287" s="72" t="s">
        <v>180</v>
      </c>
      <c r="E287" s="8" t="s">
        <v>134</v>
      </c>
      <c r="F287" s="17">
        <f t="shared" si="76"/>
        <v>5.3286543333333336</v>
      </c>
      <c r="G287" s="48">
        <f t="shared" si="77"/>
        <v>-3.1445333333333374</v>
      </c>
      <c r="H287" s="86">
        <f>SQRT((F284-F287)^2+(F285-F288)^2+(F286-F289)^2)</f>
        <v>4.5476017373070814</v>
      </c>
      <c r="I287" s="89"/>
      <c r="J287" s="17">
        <f>'Intel T265'!F287-'Experimental Procedure'!$C$128</f>
        <v>-0.6713456666666664</v>
      </c>
      <c r="K287" s="86">
        <f t="shared" ref="K287" si="90">SQRT(J287^2+J288^2+J289^2)</f>
        <v>0.70064923578298166</v>
      </c>
      <c r="L287" s="48">
        <f>IF('Intel T265'!G287-'Experimental Procedure'!$D$128&lt;-180,'Intel T265'!G287-'Experimental Procedure'!$D$128 + 360,IF('Intel T265'!G287-'Experimental Procedure'!$D$128&gt;180,'Intel T265'!G287-'Experimental Procedure'!$D$128 - 360,'Intel T265'!G287-'Experimental Procedure'!$D$128))</f>
        <v>-3.1445333333333374</v>
      </c>
      <c r="M287" s="106">
        <f t="shared" ref="M287" si="91">(M128+M181+M234)/3</f>
        <v>4.1571202207687197</v>
      </c>
      <c r="N287" s="51">
        <f>IF('Experimental Procedure'!$E$128=0,"NaN",J287/'Experimental Procedure'!$E$128*100)</f>
        <v>-11.189094444444441</v>
      </c>
      <c r="O287" s="92">
        <f>IF('Experimental Procedure'!$G$128=0,"NaN",'Intel T265'!K287/'Experimental Procedure'!$G$128*100)</f>
        <v>11.677487263049695</v>
      </c>
      <c r="P287" s="51" t="str">
        <f>IF('Experimental Procedure'!$F$128=0,"NaN",L287/'Experimental Procedure'!$F$128*100)</f>
        <v>NaN</v>
      </c>
      <c r="Q287" s="109" t="str">
        <f>IF('Experimental Procedure'!$H$128=0,"NaN",'Intel T265'!M287/'Experimental Procedure'!$H$128*100)</f>
        <v>NaN</v>
      </c>
    </row>
    <row r="288" spans="4:17" x14ac:dyDescent="0.25">
      <c r="D288" s="73"/>
      <c r="E288" s="9" t="s">
        <v>135</v>
      </c>
      <c r="F288" s="19">
        <f t="shared" si="76"/>
        <v>1.4834486666666666</v>
      </c>
      <c r="G288" s="49">
        <f t="shared" si="77"/>
        <v>90.119880000000009</v>
      </c>
      <c r="H288" s="87"/>
      <c r="I288" s="90"/>
      <c r="J288" s="19">
        <f>'Intel T265'!F288-'Experimental Procedure'!$C$129</f>
        <v>8.3448666666666726E-2</v>
      </c>
      <c r="K288" s="87"/>
      <c r="L288" s="49">
        <f>IF('Intel T265'!G288-'Experimental Procedure'!$D$129&lt;-180,'Intel T265'!G288-'Experimental Procedure'!$D$129 + 360,IF('Intel T265'!G288-'Experimental Procedure'!$D$129&gt;180,'Intel T265'!G288-'Experimental Procedure'!$D$129 - 360,'Intel T265'!G288-'Experimental Procedure'!$D$129))</f>
        <v>0.11988000000000909</v>
      </c>
      <c r="M288" s="107"/>
      <c r="N288" s="52" t="str">
        <f>IF('Experimental Procedure'!$E$129=0,"NaN",J288/'Experimental Procedure'!$E$129*100)</f>
        <v>NaN</v>
      </c>
      <c r="O288" s="93"/>
      <c r="P288" s="52" t="str">
        <f>IF('Experimental Procedure'!$F$129=0,"NaN",L288/'Experimental Procedure'!$F$129*100)</f>
        <v>NaN</v>
      </c>
      <c r="Q288" s="110"/>
    </row>
    <row r="289" spans="4:17" ht="15.75" thickBot="1" x14ac:dyDescent="0.3">
      <c r="D289" s="74"/>
      <c r="E289" s="10" t="s">
        <v>136</v>
      </c>
      <c r="F289" s="21">
        <f t="shared" si="76"/>
        <v>-0.18232023333333333</v>
      </c>
      <c r="G289" s="50">
        <f t="shared" si="77"/>
        <v>1.725280000000005</v>
      </c>
      <c r="H289" s="88"/>
      <c r="I289" s="91"/>
      <c r="J289" s="21">
        <f>'Intel T265'!F289-'Experimental Procedure'!$C$130</f>
        <v>-0.18232023333333333</v>
      </c>
      <c r="K289" s="88"/>
      <c r="L289" s="50">
        <f>IF('Intel T265'!G289-'Experimental Procedure'!$D$130&lt;-180,'Intel T265'!G289-'Experimental Procedure'!$D$130 + 360,IF('Intel T265'!G289-'Experimental Procedure'!$D$130&gt;180,'Intel T265'!G289-'Experimental Procedure'!$D$130 - 360,'Intel T265'!G289-'Experimental Procedure'!$D$130))</f>
        <v>1.725280000000005</v>
      </c>
      <c r="M289" s="108"/>
      <c r="N289" s="53" t="str">
        <f>IF('Experimental Procedure'!$E$130=0,"NaN",J289/'Experimental Procedure'!$E$130*100)</f>
        <v>NaN</v>
      </c>
      <c r="O289" s="94"/>
      <c r="P289" s="53" t="str">
        <f>IF('Experimental Procedure'!$F$130=0,"NaN",L289/'Experimental Procedure'!$F$130*100)</f>
        <v>NaN</v>
      </c>
      <c r="Q289" s="111"/>
    </row>
    <row r="290" spans="4:17" x14ac:dyDescent="0.25">
      <c r="D290" s="83" t="s">
        <v>192</v>
      </c>
      <c r="E290" s="8" t="s">
        <v>134</v>
      </c>
      <c r="F290" s="17">
        <f t="shared" si="76"/>
        <v>6.0017233333333335</v>
      </c>
      <c r="G290" s="48">
        <f t="shared" si="77"/>
        <v>-6.2668333333333335</v>
      </c>
      <c r="H290" s="86">
        <f>SQRT((F287-F290)^2+(F288-F291)^2+(F289-F292)^2)</f>
        <v>0.69336164814144319</v>
      </c>
      <c r="I290" s="89"/>
      <c r="J290" s="17">
        <f>'Intel T265'!F290-'Experimental Procedure'!$C$131</f>
        <v>1.723333333333521E-3</v>
      </c>
      <c r="K290" s="86">
        <f t="shared" ref="K290" si="92">SQRT(J290^2+J291^2+J292^2)</f>
        <v>5.5908204873051995E-2</v>
      </c>
      <c r="L290" s="48">
        <f>IF('Intel T265'!G290-'Experimental Procedure'!$D$131&lt;-180,'Intel T265'!G290-'Experimental Procedure'!$D$131 + 360,IF('Intel T265'!G290-'Experimental Procedure'!$D$131&gt;180,'Intel T265'!G290-'Experimental Procedure'!$D$131 - 360,'Intel T265'!G290-'Experimental Procedure'!$D$131))</f>
        <v>-6.2668333333333335</v>
      </c>
      <c r="M290" s="106">
        <f t="shared" ref="M290" si="93">(M131+M184+M237)/3</f>
        <v>6.8138147250624934</v>
      </c>
      <c r="N290" s="51" t="str">
        <f>IF('Experimental Procedure'!$E$131=0,"NaN",J290/'Experimental Procedure'!$E$131*100)</f>
        <v>NaN</v>
      </c>
      <c r="O290" s="92" t="str">
        <f>IF('Experimental Procedure'!$G$131=0,"NaN",'Intel T265'!K290/'Experimental Procedure'!$G$131*100)</f>
        <v>NaN</v>
      </c>
      <c r="P290" s="51" t="str">
        <f>IF('Experimental Procedure'!$F$131=0,"NaN",L290/'Experimental Procedure'!$F$131*100)</f>
        <v>NaN</v>
      </c>
      <c r="Q290" s="109">
        <f>IF('Experimental Procedure'!$H$131=0,"NaN",'Intel T265'!M290/'Experimental Procedure'!$H$131*100)</f>
        <v>7.5709052500694387</v>
      </c>
    </row>
    <row r="291" spans="4:17" x14ac:dyDescent="0.25">
      <c r="D291" s="84"/>
      <c r="E291" s="9" t="s">
        <v>135</v>
      </c>
      <c r="F291" s="19">
        <f t="shared" si="76"/>
        <v>1.3797063333333333</v>
      </c>
      <c r="G291" s="49">
        <f t="shared" si="77"/>
        <v>0.49080766666666858</v>
      </c>
      <c r="H291" s="87"/>
      <c r="I291" s="90"/>
      <c r="J291" s="19">
        <f>'Intel T265'!F291-'Experimental Procedure'!$C$132</f>
        <v>-2.0293666666666654E-2</v>
      </c>
      <c r="K291" s="87"/>
      <c r="L291" s="49">
        <f>IF('Intel T265'!G291-'Experimental Procedure'!$D$132&lt;-180,'Intel T265'!G291-'Experimental Procedure'!$D$132 + 360,IF('Intel T265'!G291-'Experimental Procedure'!$D$132&gt;180,'Intel T265'!G291-'Experimental Procedure'!$D$132 - 360,'Intel T265'!G291-'Experimental Procedure'!$D$132))</f>
        <v>0.49080766666666858</v>
      </c>
      <c r="M291" s="107"/>
      <c r="N291" s="52" t="str">
        <f>IF('Experimental Procedure'!$E$132=0,"NaN",J291/'Experimental Procedure'!$E$132*100)</f>
        <v>NaN</v>
      </c>
      <c r="O291" s="93"/>
      <c r="P291" s="52">
        <f>IF('Experimental Procedure'!$F$132=0,"NaN",L291/'Experimental Procedure'!$F$132*100)</f>
        <v>0.54534185185185391</v>
      </c>
      <c r="Q291" s="110"/>
    </row>
    <row r="292" spans="4:17" ht="15.75" thickBot="1" x14ac:dyDescent="0.3">
      <c r="D292" s="85"/>
      <c r="E292" s="10" t="s">
        <v>136</v>
      </c>
      <c r="F292" s="21">
        <f t="shared" si="76"/>
        <v>-5.2066539999999994E-2</v>
      </c>
      <c r="G292" s="50">
        <f t="shared" si="77"/>
        <v>1.4667103333333369</v>
      </c>
      <c r="H292" s="88"/>
      <c r="I292" s="91"/>
      <c r="J292" s="21">
        <f>'Intel T265'!F292-'Experimental Procedure'!$C$133</f>
        <v>-5.2066539999999994E-2</v>
      </c>
      <c r="K292" s="88"/>
      <c r="L292" s="50">
        <f>IF('Intel T265'!G292-'Experimental Procedure'!$D$133&lt;-180,'Intel T265'!G292-'Experimental Procedure'!$D$133 + 360,IF('Intel T265'!G292-'Experimental Procedure'!$D$133&gt;180,'Intel T265'!G292-'Experimental Procedure'!$D$133 - 360,'Intel T265'!G292-'Experimental Procedure'!$D$133))</f>
        <v>1.4667103333333369</v>
      </c>
      <c r="M292" s="108"/>
      <c r="N292" s="53" t="str">
        <f>IF('Experimental Procedure'!$E$133=0,"NaN",J292/'Experimental Procedure'!$E$133*100)</f>
        <v>NaN</v>
      </c>
      <c r="O292" s="94"/>
      <c r="P292" s="53" t="str">
        <f>IF('Experimental Procedure'!$F$133=0,"NaN",L292/'Experimental Procedure'!$F$133*100)</f>
        <v>NaN</v>
      </c>
      <c r="Q292" s="111"/>
    </row>
    <row r="293" spans="4:17" x14ac:dyDescent="0.25">
      <c r="D293" s="72" t="s">
        <v>189</v>
      </c>
      <c r="E293" s="8" t="s">
        <v>134</v>
      </c>
      <c r="F293" s="17">
        <f t="shared" si="76"/>
        <v>6.0813473333333334</v>
      </c>
      <c r="G293" s="48">
        <f t="shared" si="77"/>
        <v>-5.3947666666666692</v>
      </c>
      <c r="H293" s="86">
        <f>SQRT((F290-F293)^2+(F291-F294)^2+(F292-F295)^2)</f>
        <v>3.6101882415881716</v>
      </c>
      <c r="I293" s="89"/>
      <c r="J293" s="17">
        <f>'Intel T265'!F293-'Experimental Procedure'!$C$110</f>
        <v>8.1347333333333438E-2</v>
      </c>
      <c r="K293" s="86">
        <f t="shared" ref="K293" si="94">SQRT(J293^2+J294^2+J295^2)</f>
        <v>0.45412669513853143</v>
      </c>
      <c r="L293" s="48">
        <f>IF('Intel T265'!G293-'Experimental Procedure'!$D$110&lt;-180,'Intel T265'!G293-'Experimental Procedure'!$D$110 + 360,IF('Intel T265'!G293-'Experimental Procedure'!$D$110&gt;180,'Intel T265'!G293-'Experimental Procedure'!$D$110 - 360,'Intel T265'!G293-'Experimental Procedure'!$D$110))</f>
        <v>-5.3947666666666692</v>
      </c>
      <c r="M293" s="106">
        <f t="shared" ref="M293" si="95">(M134+M187+M240)/3</f>
        <v>6.1650352485858617</v>
      </c>
      <c r="N293" s="51" t="str">
        <f>IF('Experimental Procedure'!$E$110=0,"NaN",J293/'Experimental Procedure'!$E$110*100)</f>
        <v>NaN</v>
      </c>
      <c r="O293" s="92">
        <f>IF('Experimental Procedure'!$G$110=0,"NaN",'Intel T265'!K293/'Experimental Procedure'!$G$110*100)</f>
        <v>11.353167378463286</v>
      </c>
      <c r="P293" s="51" t="str">
        <f>IF('Experimental Procedure'!$F$110=0,"NaN",L293/'Experimental Procedure'!$F$110*100)</f>
        <v>NaN</v>
      </c>
      <c r="Q293" s="109" t="str">
        <f>IF('Experimental Procedure'!$H$110=0,"NaN",'Intel T265'!M293/'Experimental Procedure'!$H$110*100)</f>
        <v>NaN</v>
      </c>
    </row>
    <row r="294" spans="4:17" x14ac:dyDescent="0.25">
      <c r="D294" s="73"/>
      <c r="E294" s="9" t="s">
        <v>135</v>
      </c>
      <c r="F294" s="19">
        <f t="shared" si="76"/>
        <v>1.453894</v>
      </c>
      <c r="G294" s="49">
        <f t="shared" si="77"/>
        <v>-0.76252666666665847</v>
      </c>
      <c r="H294" s="87"/>
      <c r="I294" s="90"/>
      <c r="J294" s="19">
        <f>'Intel T265'!F294-'Experimental Procedure'!$C$111</f>
        <v>5.3894000000000108E-2</v>
      </c>
      <c r="K294" s="87"/>
      <c r="L294" s="49">
        <f>IF('Intel T265'!G294-'Experimental Procedure'!$D$111&lt;-180,'Intel T265'!G294-'Experimental Procedure'!$D$111 + 360,IF('Intel T265'!G294-'Experimental Procedure'!$D$111&gt;180,'Intel T265'!G294-'Experimental Procedure'!$D$111 - 360,'Intel T265'!G294-'Experimental Procedure'!$D$111))</f>
        <v>-0.76252666666665847</v>
      </c>
      <c r="M294" s="107"/>
      <c r="N294" s="52" t="str">
        <f>IF('Experimental Procedure'!$E$111=0,"NaN",J294/'Experimental Procedure'!$E$111*100)</f>
        <v>NaN</v>
      </c>
      <c r="O294" s="93"/>
      <c r="P294" s="52" t="str">
        <f>IF('Experimental Procedure'!$F$111=0,"NaN",L294/'Experimental Procedure'!$F$111*100)</f>
        <v>NaN</v>
      </c>
      <c r="Q294" s="110"/>
    </row>
    <row r="295" spans="4:17" ht="15.75" thickBot="1" x14ac:dyDescent="0.3">
      <c r="D295" s="74"/>
      <c r="E295" s="10" t="s">
        <v>136</v>
      </c>
      <c r="F295" s="21">
        <f t="shared" si="76"/>
        <v>3.5564809999999998</v>
      </c>
      <c r="G295" s="50">
        <f t="shared" si="77"/>
        <v>0.82519500000000201</v>
      </c>
      <c r="H295" s="88"/>
      <c r="I295" s="91"/>
      <c r="J295" s="21">
        <f>'Intel T265'!F295-'Experimental Procedure'!$C$112</f>
        <v>-0.44351900000000022</v>
      </c>
      <c r="K295" s="88"/>
      <c r="L295" s="50">
        <f>IF('Intel T265'!G295-'Experimental Procedure'!$D$112&lt;-180,'Intel T265'!G295-'Experimental Procedure'!$D$112 + 360,IF('Intel T265'!G295-'Experimental Procedure'!$D$112&gt;180,'Intel T265'!G295-'Experimental Procedure'!$D$112 - 360,'Intel T265'!G295-'Experimental Procedure'!$D$112))</f>
        <v>0.82519500000000201</v>
      </c>
      <c r="M295" s="108"/>
      <c r="N295" s="53">
        <f>IF('Experimental Procedure'!$E$112=0,"NaN",J295/'Experimental Procedure'!$E$112*100)</f>
        <v>-11.087975000000005</v>
      </c>
      <c r="O295" s="94"/>
      <c r="P295" s="53" t="str">
        <f>IF('Experimental Procedure'!$F$112=0,"NaN",L295/'Experimental Procedure'!$F$112*100)</f>
        <v>NaN</v>
      </c>
      <c r="Q295" s="111"/>
    </row>
    <row r="296" spans="4:17" x14ac:dyDescent="0.25">
      <c r="D296" s="72" t="s">
        <v>191</v>
      </c>
      <c r="E296" s="8" t="s">
        <v>134</v>
      </c>
      <c r="F296" s="17">
        <f t="shared" si="76"/>
        <v>6.0199990000000012</v>
      </c>
      <c r="G296" s="48">
        <f t="shared" si="77"/>
        <v>-6.1666000000000167</v>
      </c>
      <c r="H296" s="86">
        <f>SQRT((F293-F296)^2+(F294-F297)^2+(F295-F298)^2)</f>
        <v>0.19510486701458166</v>
      </c>
      <c r="I296" s="89"/>
      <c r="J296" s="17">
        <f>'Intel T265'!F296-'Experimental Procedure'!$C$113</f>
        <v>1.999900000000121E-2</v>
      </c>
      <c r="K296" s="86">
        <f t="shared" ref="K296" si="96">SQRT(J296^2+J297^2+J298^2)</f>
        <v>0.62849313097439663</v>
      </c>
      <c r="L296" s="48">
        <f>IF('Intel T265'!G296-'Experimental Procedure'!$D$113&lt;-180,'Intel T265'!G296-'Experimental Procedure'!$D$113 + 360,IF('Intel T265'!G296-'Experimental Procedure'!$D$113&gt;180,'Intel T265'!G296-'Experimental Procedure'!$D$113 - 360,'Intel T265'!G296-'Experimental Procedure'!$D$113))</f>
        <v>-6.1666000000000167</v>
      </c>
      <c r="M296" s="106">
        <f t="shared" ref="M296" si="97">(M137+M190+M243)/3</f>
        <v>6.6208572287941161</v>
      </c>
      <c r="N296" s="51" t="str">
        <f>IF('Experimental Procedure'!$E$113=0,"NaN",J296/'Experimental Procedure'!$E$113*100)</f>
        <v>NaN</v>
      </c>
      <c r="O296" s="92" t="str">
        <f>IF('Experimental Procedure'!$G$113=0,"NaN",'Intel T265'!K296/'Experimental Procedure'!$G$113*100)</f>
        <v>NaN</v>
      </c>
      <c r="P296" s="51" t="str">
        <f>IF('Experimental Procedure'!$F$113=0,"NaN",L296/'Experimental Procedure'!$F$113*100)</f>
        <v>NaN</v>
      </c>
      <c r="Q296" s="109">
        <f>IF('Experimental Procedure'!$H$113=0,"NaN",'Intel T265'!M296/'Experimental Procedure'!$H$113*100)</f>
        <v>7.3565080319934628</v>
      </c>
    </row>
    <row r="297" spans="4:17" x14ac:dyDescent="0.25">
      <c r="D297" s="73"/>
      <c r="E297" s="9" t="s">
        <v>135</v>
      </c>
      <c r="F297" s="19">
        <f t="shared" si="76"/>
        <v>1.4315909999999998</v>
      </c>
      <c r="G297" s="49">
        <f t="shared" si="77"/>
        <v>-90.087300000000013</v>
      </c>
      <c r="H297" s="87"/>
      <c r="I297" s="90"/>
      <c r="J297" s="19">
        <f>'Intel T265'!F297-'Experimental Procedure'!$C$114</f>
        <v>3.1590999999999925E-2</v>
      </c>
      <c r="K297" s="87"/>
      <c r="L297" s="49">
        <f>IF('Intel T265'!G297-'Experimental Procedure'!$D$114&lt;-180,'Intel T265'!G297-'Experimental Procedure'!$D$114 + 360,IF('Intel T265'!G297-'Experimental Procedure'!$D$114&gt;180,'Intel T265'!G297-'Experimental Procedure'!$D$114 - 360,'Intel T265'!G297-'Experimental Procedure'!$D$114))</f>
        <v>-8.7300000000027467E-2</v>
      </c>
      <c r="M297" s="107"/>
      <c r="N297" s="52" t="str">
        <f>IF('Experimental Procedure'!$E$114=0,"NaN",J297/'Experimental Procedure'!$E$114*100)</f>
        <v>NaN</v>
      </c>
      <c r="O297" s="93"/>
      <c r="P297" s="52">
        <f>IF('Experimental Procedure'!$F$114=0,"NaN",L297/'Experimental Procedure'!$F$114*100)</f>
        <v>-9.700000000003052E-2</v>
      </c>
      <c r="Q297" s="110"/>
    </row>
    <row r="298" spans="4:17" ht="15.75" thickBot="1" x14ac:dyDescent="0.3">
      <c r="D298" s="74"/>
      <c r="E298" s="10" t="s">
        <v>136</v>
      </c>
      <c r="F298" s="21">
        <f t="shared" si="76"/>
        <v>3.37262</v>
      </c>
      <c r="G298" s="50">
        <f t="shared" si="77"/>
        <v>2.0228373333333334</v>
      </c>
      <c r="H298" s="88"/>
      <c r="I298" s="91"/>
      <c r="J298" s="21">
        <f>'Intel T265'!F298-'Experimental Procedure'!$C$115</f>
        <v>-0.62738000000000005</v>
      </c>
      <c r="K298" s="88"/>
      <c r="L298" s="50">
        <f>IF('Intel T265'!G298-'Experimental Procedure'!$D$115&lt;-180,'Intel T265'!G298-'Experimental Procedure'!$D$115 + 360,IF('Intel T265'!G298-'Experimental Procedure'!$D$115&gt;180,'Intel T265'!G298-'Experimental Procedure'!$D$115 - 360,'Intel T265'!G298-'Experimental Procedure'!$D$115))</f>
        <v>2.0228373333333334</v>
      </c>
      <c r="M298" s="108"/>
      <c r="N298" s="53" t="str">
        <f>IF('Experimental Procedure'!$E$115=0,"NaN",J298/'Experimental Procedure'!$E$115*100)</f>
        <v>NaN</v>
      </c>
      <c r="O298" s="94"/>
      <c r="P298" s="53" t="str">
        <f>IF('Experimental Procedure'!$F$115=0,"NaN",L298/'Experimental Procedure'!$F$115*100)</f>
        <v>NaN</v>
      </c>
      <c r="Q298" s="111"/>
    </row>
    <row r="299" spans="4:17" x14ac:dyDescent="0.25">
      <c r="D299" s="72" t="s">
        <v>188</v>
      </c>
      <c r="E299" s="8" t="s">
        <v>134</v>
      </c>
      <c r="F299" s="17">
        <f t="shared" si="76"/>
        <v>1.2006923333333333</v>
      </c>
      <c r="G299" s="48">
        <f t="shared" si="77"/>
        <v>-5.8565000000000014</v>
      </c>
      <c r="H299" s="86">
        <f>SQRT((F296-F299)^2+(F297-F300)^2+(F298-F301)^2)</f>
        <v>4.8197754395907992</v>
      </c>
      <c r="I299" s="89"/>
      <c r="J299" s="17">
        <f>'Intel T265'!F299-'Experimental Procedure'!$C$116</f>
        <v>1.2006923333333333</v>
      </c>
      <c r="K299" s="86">
        <f t="shared" ref="K299" si="98">SQRT(J299^2+J300^2+J301^2)</f>
        <v>1.332352879814503</v>
      </c>
      <c r="L299" s="48">
        <f>IF('Intel T265'!G299-'Experimental Procedure'!$D$116&lt;-180,'Intel T265'!G299-'Experimental Procedure'!$D$116 + 360,IF('Intel T265'!G299-'Experimental Procedure'!$D$116&gt;180,'Intel T265'!G299-'Experimental Procedure'!$D$116 - 360,'Intel T265'!G299-'Experimental Procedure'!$D$116))</f>
        <v>-5.8565000000000014</v>
      </c>
      <c r="M299" s="106">
        <f t="shared" ref="M299" si="99">(M140+M193+M246)/3</f>
        <v>6.2014736630804386</v>
      </c>
      <c r="N299" s="51">
        <f>IF('Experimental Procedure'!$E$116=0,"NaN",J299/'Experimental Procedure'!$E$116*100)</f>
        <v>20.011538888888889</v>
      </c>
      <c r="O299" s="92">
        <f>IF('Experimental Procedure'!$G$116=0,"NaN",'Intel T265'!K299/'Experimental Procedure'!$G$116*100)</f>
        <v>22.205881330241716</v>
      </c>
      <c r="P299" s="51" t="str">
        <f>IF('Experimental Procedure'!$F$116=0,"NaN",L299/'Experimental Procedure'!$F$116*100)</f>
        <v>NaN</v>
      </c>
      <c r="Q299" s="109" t="str">
        <f>IF('Experimental Procedure'!$H$116=0,"NaN",'Intel T265'!M299/'Experimental Procedure'!$H$116*100)</f>
        <v>NaN</v>
      </c>
    </row>
    <row r="300" spans="4:17" x14ac:dyDescent="0.25">
      <c r="D300" s="73"/>
      <c r="E300" s="9" t="s">
        <v>135</v>
      </c>
      <c r="F300" s="19">
        <f t="shared" si="76"/>
        <v>1.3867036666666666</v>
      </c>
      <c r="G300" s="49">
        <f t="shared" si="77"/>
        <v>-90.598099999999988</v>
      </c>
      <c r="H300" s="87"/>
      <c r="I300" s="90"/>
      <c r="J300" s="19">
        <f>'Intel T265'!F300-'Experimental Procedure'!$C$117</f>
        <v>-1.3296333333333354E-2</v>
      </c>
      <c r="K300" s="87"/>
      <c r="L300" s="49">
        <f>IF('Intel T265'!G300-'Experimental Procedure'!$D$117&lt;-180,'Intel T265'!G300-'Experimental Procedure'!$D$117 + 360,IF('Intel T265'!G300-'Experimental Procedure'!$D$117&gt;180,'Intel T265'!G300-'Experimental Procedure'!$D$117 - 360,'Intel T265'!G300-'Experimental Procedure'!$D$117))</f>
        <v>-0.59809999999998809</v>
      </c>
      <c r="M300" s="107"/>
      <c r="N300" s="52" t="str">
        <f>IF('Experimental Procedure'!$E$117=0,"NaN",J300/'Experimental Procedure'!$E$117*100)</f>
        <v>NaN</v>
      </c>
      <c r="O300" s="93"/>
      <c r="P300" s="52" t="str">
        <f>IF('Experimental Procedure'!$F$117=0,"NaN",L300/'Experimental Procedure'!$F$117*100)</f>
        <v>NaN</v>
      </c>
      <c r="Q300" s="110"/>
    </row>
    <row r="301" spans="4:17" ht="15.75" thickBot="1" x14ac:dyDescent="0.3">
      <c r="D301" s="74"/>
      <c r="E301" s="10" t="s">
        <v>136</v>
      </c>
      <c r="F301" s="21">
        <f t="shared" si="76"/>
        <v>3.4226566666666667</v>
      </c>
      <c r="G301" s="50">
        <f t="shared" si="77"/>
        <v>1.2114863</v>
      </c>
      <c r="H301" s="88"/>
      <c r="I301" s="91"/>
      <c r="J301" s="21">
        <f>'Intel T265'!F301-'Experimental Procedure'!$C$118</f>
        <v>-0.57734333333333332</v>
      </c>
      <c r="K301" s="88"/>
      <c r="L301" s="50">
        <f>IF('Intel T265'!G301-'Experimental Procedure'!$D$118&lt;-180,'Intel T265'!G301-'Experimental Procedure'!$D$118 + 360,IF('Intel T265'!G301-'Experimental Procedure'!$D$118&gt;180,'Intel T265'!G301-'Experimental Procedure'!$D$118 - 360,'Intel T265'!G301-'Experimental Procedure'!$D$118))</f>
        <v>1.2114863</v>
      </c>
      <c r="M301" s="108"/>
      <c r="N301" s="53" t="str">
        <f>IF('Experimental Procedure'!$E$118=0,"NaN",J301/'Experimental Procedure'!$E$118*100)</f>
        <v>NaN</v>
      </c>
      <c r="O301" s="94"/>
      <c r="P301" s="53" t="str">
        <f>IF('Experimental Procedure'!$F$118=0,"NaN",L301/'Experimental Procedure'!$F$118*100)</f>
        <v>NaN</v>
      </c>
      <c r="Q301" s="111"/>
    </row>
    <row r="302" spans="4:17" x14ac:dyDescent="0.25">
      <c r="D302" s="72" t="s">
        <v>191</v>
      </c>
      <c r="E302" s="8" t="s">
        <v>134</v>
      </c>
      <c r="F302" s="17">
        <f t="shared" si="76"/>
        <v>1.2938642666666667</v>
      </c>
      <c r="G302" s="48">
        <f t="shared" si="77"/>
        <v>-6.4732000000000012</v>
      </c>
      <c r="H302" s="86">
        <f>SQRT((F299-F302)^2+(F300-F303)^2+(F301-F304)^2)</f>
        <v>9.9715462143619316E-2</v>
      </c>
      <c r="I302" s="89"/>
      <c r="J302" s="17">
        <f>'Intel T265'!F302-'Experimental Procedure'!$C$119</f>
        <v>1.2938642666666667</v>
      </c>
      <c r="K302" s="86">
        <f t="shared" ref="K302" si="100">SQRT(J302^2+J303^2+J304^2)</f>
        <v>1.4312867294320961</v>
      </c>
      <c r="L302" s="48">
        <f>IF('Intel T265'!G302-'Experimental Procedure'!$D$119&lt;-180,'Intel T265'!G302-'Experimental Procedure'!$D$119 + 360,IF('Intel T265'!G302-'Experimental Procedure'!$D$119&gt;180,'Intel T265'!G302-'Experimental Procedure'!$D$119 - 360,'Intel T265'!G302-'Experimental Procedure'!$D$119))</f>
        <v>-6.4732000000000012</v>
      </c>
      <c r="M302" s="106">
        <f t="shared" ref="M302" si="101">(M143+M196+M249)/3</f>
        <v>7.2097535169444411</v>
      </c>
      <c r="N302" s="51" t="str">
        <f>IF('Experimental Procedure'!$E$119=0,"NaN",J302/'Experimental Procedure'!$E$119*100)</f>
        <v>NaN</v>
      </c>
      <c r="O302" s="92" t="str">
        <f>IF('Experimental Procedure'!$G$119=0,"NaN",'Intel T265'!K302/'Experimental Procedure'!$G$119*100)</f>
        <v>NaN</v>
      </c>
      <c r="P302" s="51" t="str">
        <f>IF('Experimental Procedure'!$F$119=0,"NaN",L302/'Experimental Procedure'!$F$119*100)</f>
        <v>NaN</v>
      </c>
      <c r="Q302" s="109">
        <f>IF('Experimental Procedure'!$H$119=0,"NaN",'Intel T265'!M302/'Experimental Procedure'!$H$119*100)</f>
        <v>8.01083724104938</v>
      </c>
    </row>
    <row r="303" spans="4:17" x14ac:dyDescent="0.25">
      <c r="D303" s="73"/>
      <c r="E303" s="9" t="s">
        <v>135</v>
      </c>
      <c r="F303" s="19">
        <f t="shared" si="76"/>
        <v>1.3947833333333335</v>
      </c>
      <c r="G303" s="49">
        <f>AVERAGE(G144,G197,G250)</f>
        <v>178.33333333333334</v>
      </c>
      <c r="H303" s="87"/>
      <c r="I303" s="90"/>
      <c r="J303" s="19">
        <f>'Intel T265'!F303-'Experimental Procedure'!$C$120</f>
        <v>-5.2166666666664252E-3</v>
      </c>
      <c r="K303" s="87"/>
      <c r="L303" s="49">
        <f>IF('Intel T265'!G303-'Experimental Procedure'!$D$120&lt;-180,'Intel T265'!G303-'Experimental Procedure'!$D$120 + 360,IF('Intel T265'!G303-'Experimental Procedure'!$D$120&gt;180,'Intel T265'!G303-'Experimental Procedure'!$D$120 - 360,'Intel T265'!G303-'Experimental Procedure'!$D$120))</f>
        <v>-1.6666666666666572</v>
      </c>
      <c r="M303" s="107"/>
      <c r="N303" s="52" t="str">
        <f>IF('Experimental Procedure'!$E$120=0,"NaN",J303/'Experimental Procedure'!$E$120*100)</f>
        <v>NaN</v>
      </c>
      <c r="O303" s="93"/>
      <c r="P303" s="52">
        <f>IF('Experimental Procedure'!$F$120=0,"NaN",L303/'Experimental Procedure'!$F$120*100)</f>
        <v>-1.8518518518518414</v>
      </c>
      <c r="Q303" s="110"/>
    </row>
    <row r="304" spans="4:17" ht="15.75" thickBot="1" x14ac:dyDescent="0.3">
      <c r="D304" s="74"/>
      <c r="E304" s="10" t="s">
        <v>136</v>
      </c>
      <c r="F304" s="21">
        <f t="shared" si="76"/>
        <v>3.3880606666666666</v>
      </c>
      <c r="G304" s="50">
        <f t="shared" si="77"/>
        <v>1.7841083333333334</v>
      </c>
      <c r="H304" s="88"/>
      <c r="I304" s="91"/>
      <c r="J304" s="21">
        <f>'Intel T265'!F304-'Experimental Procedure'!$C$121</f>
        <v>-0.61193933333333339</v>
      </c>
      <c r="K304" s="88"/>
      <c r="L304" s="50">
        <f>IF('Intel T265'!G304-'Experimental Procedure'!$D$121&lt;-180,'Intel T265'!G304-'Experimental Procedure'!$D$121 + 360,IF('Intel T265'!G304-'Experimental Procedure'!$D$121&gt;180,'Intel T265'!G304-'Experimental Procedure'!$D$121 - 360,'Intel T265'!G304-'Experimental Procedure'!$D$121))</f>
        <v>1.7841083333333334</v>
      </c>
      <c r="M304" s="108"/>
      <c r="N304" s="53" t="str">
        <f>IF('Experimental Procedure'!$E$121=0,"NaN",J304/'Experimental Procedure'!$E$121*100)</f>
        <v>NaN</v>
      </c>
      <c r="O304" s="94"/>
      <c r="P304" s="53" t="str">
        <f>IF('Experimental Procedure'!$F$121=0,"NaN",L304/'Experimental Procedure'!$F$121*100)</f>
        <v>NaN</v>
      </c>
      <c r="Q304" s="111"/>
    </row>
    <row r="305" spans="4:17" x14ac:dyDescent="0.25">
      <c r="D305" s="72" t="s">
        <v>190</v>
      </c>
      <c r="E305" s="8" t="s">
        <v>134</v>
      </c>
      <c r="F305" s="17">
        <f t="shared" si="76"/>
        <v>1.2674923</v>
      </c>
      <c r="G305" s="48">
        <f t="shared" si="77"/>
        <v>-5.0392333333333381</v>
      </c>
      <c r="H305" s="86">
        <f>SQRT((F302-F305)^2+(F303-F306)^2+(F304-F307)^2)</f>
        <v>3.7538334583229975</v>
      </c>
      <c r="I305" s="89"/>
      <c r="J305" s="17">
        <f>'Intel T265'!F305-'Experimental Procedure'!$C$122</f>
        <v>1.2674923</v>
      </c>
      <c r="K305" s="86">
        <f t="shared" ref="K305" si="102">SQRT(J305^2+J306^2+J307^2)</f>
        <v>1.3192666887354072</v>
      </c>
      <c r="L305" s="48">
        <f>IF('Intel T265'!G305-'Experimental Procedure'!$D$122&lt;-180,'Intel T265'!G305-'Experimental Procedure'!$D$122 + 360,IF('Intel T265'!G305-'Experimental Procedure'!$D$122&gt;180,'Intel T265'!G305-'Experimental Procedure'!$D$122 - 360,'Intel T265'!G305-'Experimental Procedure'!$D$122))</f>
        <v>-5.0392333333333381</v>
      </c>
      <c r="M305" s="106">
        <f t="shared" ref="M305" si="103">(M146+M199+M252)/3</f>
        <v>5.6480599247657439</v>
      </c>
      <c r="N305" s="51" t="str">
        <f>IF('Experimental Procedure'!$E$122=0,"NaN",J305/'Experimental Procedure'!$E$122*100)</f>
        <v>NaN</v>
      </c>
      <c r="O305" s="92">
        <f>IF('Experimental Procedure'!$G$122=0,"NaN",'Intel T265'!K305/'Experimental Procedure'!$G$122*100)</f>
        <v>32.981667218385184</v>
      </c>
      <c r="P305" s="51" t="str">
        <f>IF('Experimental Procedure'!$F$122=0,"NaN",L305/'Experimental Procedure'!$F$122*100)</f>
        <v>NaN</v>
      </c>
      <c r="Q305" s="109" t="str">
        <f>IF('Experimental Procedure'!$H$122=0,"NaN",'Intel T265'!M305/'Experimental Procedure'!$H$122*100)</f>
        <v>NaN</v>
      </c>
    </row>
    <row r="306" spans="4:17" x14ac:dyDescent="0.25">
      <c r="D306" s="73"/>
      <c r="E306" s="9" t="s">
        <v>135</v>
      </c>
      <c r="F306" s="19">
        <f t="shared" si="76"/>
        <v>1.4157736666666667</v>
      </c>
      <c r="G306" s="49">
        <f t="shared" si="77"/>
        <v>178.22023333333334</v>
      </c>
      <c r="H306" s="87"/>
      <c r="I306" s="90"/>
      <c r="J306" s="19">
        <f>'Intel T265'!F306-'Experimental Procedure'!$C$123</f>
        <v>1.5773666666666797E-2</v>
      </c>
      <c r="K306" s="87"/>
      <c r="L306" s="49">
        <f>IF('Intel T265'!G306-'Experimental Procedure'!$D$123&lt;-180,'Intel T265'!G306-'Experimental Procedure'!$D$123 + 360,IF('Intel T265'!G306-'Experimental Procedure'!$D$123&gt;180,'Intel T265'!G306-'Experimental Procedure'!$D$123 - 360,'Intel T265'!G306-'Experimental Procedure'!$D$123))</f>
        <v>-1.7797666666666601</v>
      </c>
      <c r="M306" s="107"/>
      <c r="N306" s="52" t="str">
        <f>IF('Experimental Procedure'!$E$123=0,"NaN",J306/'Experimental Procedure'!$E$123*100)</f>
        <v>NaN</v>
      </c>
      <c r="O306" s="93"/>
      <c r="P306" s="52" t="str">
        <f>IF('Experimental Procedure'!$F$123=0,"NaN",L306/'Experimental Procedure'!$F$123*100)</f>
        <v>NaN</v>
      </c>
      <c r="Q306" s="110"/>
    </row>
    <row r="307" spans="4:17" ht="15.75" thickBot="1" x14ac:dyDescent="0.3">
      <c r="D307" s="74"/>
      <c r="E307" s="10" t="s">
        <v>136</v>
      </c>
      <c r="F307" s="21">
        <f t="shared" si="76"/>
        <v>-0.36562146666666667</v>
      </c>
      <c r="G307" s="50">
        <f t="shared" si="77"/>
        <v>0.99896166666667519</v>
      </c>
      <c r="H307" s="88"/>
      <c r="I307" s="91"/>
      <c r="J307" s="21">
        <f>'Intel T265'!F307-'Experimental Procedure'!$C$124</f>
        <v>-0.36562146666666667</v>
      </c>
      <c r="K307" s="88"/>
      <c r="L307" s="50">
        <f>IF('Intel T265'!G307-'Experimental Procedure'!$D$124&lt;-180,'Intel T265'!G307-'Experimental Procedure'!$D$124 + 360,IF('Intel T265'!G307-'Experimental Procedure'!$D$124&gt;180,'Intel T265'!G307-'Experimental Procedure'!$D$124 - 360,'Intel T265'!G307-'Experimental Procedure'!$D$124))</f>
        <v>0.99896166666667519</v>
      </c>
      <c r="M307" s="108"/>
      <c r="N307" s="53">
        <f>IF('Experimental Procedure'!$E$124=0,"NaN",J307/'Experimental Procedure'!$E$124*100)</f>
        <v>-9.1405366666666676</v>
      </c>
      <c r="O307" s="94"/>
      <c r="P307" s="53" t="str">
        <f>IF('Experimental Procedure'!$F$124=0,"NaN",L307/'Experimental Procedure'!$F$124*100)</f>
        <v>NaN</v>
      </c>
      <c r="Q307" s="111"/>
    </row>
    <row r="308" spans="4:17" x14ac:dyDescent="0.25">
      <c r="D308" s="72" t="s">
        <v>191</v>
      </c>
      <c r="E308" s="8" t="s">
        <v>134</v>
      </c>
      <c r="F308" s="17">
        <f t="shared" si="76"/>
        <v>1.2259582333333332</v>
      </c>
      <c r="G308" s="48">
        <f t="shared" si="77"/>
        <v>-6.2014666666666853</v>
      </c>
      <c r="H308" s="86">
        <f>SQRT((F305-F308)^2+(F306-F309)^2+(F307-F310)^2)</f>
        <v>0.2596589626533834</v>
      </c>
      <c r="I308" s="89"/>
      <c r="J308" s="17">
        <f>'Intel T265'!F308-'Experimental Procedure'!$C$125</f>
        <v>1.2259582333333332</v>
      </c>
      <c r="K308" s="86">
        <f t="shared" ref="K308" si="104">SQRT(J308^2+J309^2+J310^2)</f>
        <v>1.2312377002543022</v>
      </c>
      <c r="L308" s="48">
        <f>IF('Intel T265'!G308-'Experimental Procedure'!$D$125&lt;-180,'Intel T265'!G308-'Experimental Procedure'!$D$125 + 360,IF('Intel T265'!G308-'Experimental Procedure'!$D$125&gt;180,'Intel T265'!G308-'Experimental Procedure'!$D$125 - 360,'Intel T265'!G308-'Experimental Procedure'!$D$125))</f>
        <v>-6.2014666666666853</v>
      </c>
      <c r="M308" s="106">
        <f t="shared" ref="M308" si="105">(M149+M202+M255)/3</f>
        <v>6.6133116609078648</v>
      </c>
      <c r="N308" s="51" t="str">
        <f>IF('Experimental Procedure'!$E$125=0,"NaN",J308/'Experimental Procedure'!$E$125*100)</f>
        <v>NaN</v>
      </c>
      <c r="O308" s="92" t="str">
        <f>IF('Experimental Procedure'!$G$125=0,"NaN",'Intel T265'!K308/'Experimental Procedure'!$G$125*100)</f>
        <v>NaN</v>
      </c>
      <c r="P308" s="51" t="str">
        <f>IF('Experimental Procedure'!$F$125=0,"NaN",L308/'Experimental Procedure'!$F$125*100)</f>
        <v>NaN</v>
      </c>
      <c r="Q308" s="109">
        <f>IF('Experimental Procedure'!$H$125=0,"NaN",'Intel T265'!M308/'Experimental Procedure'!$H$125*100)</f>
        <v>7.348124067675406</v>
      </c>
    </row>
    <row r="309" spans="4:17" x14ac:dyDescent="0.25">
      <c r="D309" s="73"/>
      <c r="E309" s="9" t="s">
        <v>135</v>
      </c>
      <c r="F309" s="19">
        <f t="shared" si="76"/>
        <v>1.3790376666666664</v>
      </c>
      <c r="G309" s="49">
        <f t="shared" si="77"/>
        <v>88.722666666666669</v>
      </c>
      <c r="H309" s="87"/>
      <c r="I309" s="90"/>
      <c r="J309" s="19">
        <f>'Intel T265'!F309-'Experimental Procedure'!$C$126</f>
        <v>-2.0962333333333527E-2</v>
      </c>
      <c r="K309" s="87"/>
      <c r="L309" s="49">
        <f>IF('Intel T265'!G309-'Experimental Procedure'!$D$126&lt;-180,'Intel T265'!G309-'Experimental Procedure'!$D$126 + 360,IF('Intel T265'!G309-'Experimental Procedure'!$D$126&gt;180,'Intel T265'!G309-'Experimental Procedure'!$D$126 - 360,'Intel T265'!G309-'Experimental Procedure'!$D$126))</f>
        <v>-1.2773333333333312</v>
      </c>
      <c r="M309" s="107"/>
      <c r="N309" s="52" t="str">
        <f>IF('Experimental Procedure'!$E$126=0,"NaN",J309/'Experimental Procedure'!$E$126*100)</f>
        <v>NaN</v>
      </c>
      <c r="O309" s="93"/>
      <c r="P309" s="52">
        <f>IF('Experimental Procedure'!$F$126=0,"NaN",L309/'Experimental Procedure'!$F$126*100)</f>
        <v>-1.419259259259257</v>
      </c>
      <c r="Q309" s="110"/>
    </row>
    <row r="310" spans="4:17" ht="15.75" thickBot="1" x14ac:dyDescent="0.3">
      <c r="D310" s="74"/>
      <c r="E310" s="10" t="s">
        <v>136</v>
      </c>
      <c r="F310" s="21">
        <f t="shared" si="76"/>
        <v>-0.11195206666666667</v>
      </c>
      <c r="G310" s="50">
        <f t="shared" si="77"/>
        <v>0.74258036666666827</v>
      </c>
      <c r="H310" s="88"/>
      <c r="I310" s="91"/>
      <c r="J310" s="21">
        <f>'Intel T265'!F310-'Experimental Procedure'!$C$127</f>
        <v>-0.11195206666666667</v>
      </c>
      <c r="K310" s="88"/>
      <c r="L310" s="50">
        <f>IF('Intel T265'!G310-'Experimental Procedure'!$D$127&lt;-180,'Intel T265'!G310-'Experimental Procedure'!$D$127 + 360,IF('Intel T265'!G310-'Experimental Procedure'!$D$127&gt;180,'Intel T265'!G310-'Experimental Procedure'!$D$127 - 360,'Intel T265'!G310-'Experimental Procedure'!$D$127))</f>
        <v>0.74258036666666827</v>
      </c>
      <c r="M310" s="108"/>
      <c r="N310" s="53" t="str">
        <f>IF('Experimental Procedure'!$E$127=0,"NaN",J310/'Experimental Procedure'!$E$127*100)</f>
        <v>NaN</v>
      </c>
      <c r="O310" s="94"/>
      <c r="P310" s="53" t="str">
        <f>IF('Experimental Procedure'!$F$127=0,"NaN",L310/'Experimental Procedure'!$F$127*100)</f>
        <v>NaN</v>
      </c>
      <c r="Q310" s="111"/>
    </row>
    <row r="311" spans="4:17" x14ac:dyDescent="0.25">
      <c r="D311" s="72" t="s">
        <v>180</v>
      </c>
      <c r="E311" s="8" t="s">
        <v>134</v>
      </c>
      <c r="F311" s="17">
        <f t="shared" si="76"/>
        <v>6.1364790000000005</v>
      </c>
      <c r="G311" s="48">
        <f t="shared" si="77"/>
        <v>-3.8814666666666731</v>
      </c>
      <c r="H311" s="86">
        <f>SQRT((F308-F311)^2+(F309-F312)^2+(F310-F313)^2)</f>
        <v>4.9108483530833915</v>
      </c>
      <c r="I311" s="89"/>
      <c r="J311" s="17">
        <f>'Intel T265'!F311-'Experimental Procedure'!$C$128</f>
        <v>0.13647900000000046</v>
      </c>
      <c r="K311" s="86">
        <f t="shared" ref="K311" si="106">SQRT(J311^2+J312^2+J313^2)</f>
        <v>0.21363309462539351</v>
      </c>
      <c r="L311" s="48">
        <f>IF('Intel T265'!G311-'Experimental Procedure'!$D$128&lt;-180,'Intel T265'!G311-'Experimental Procedure'!$D$128 + 360,IF('Intel T265'!G311-'Experimental Procedure'!$D$128&gt;180,'Intel T265'!G311-'Experimental Procedure'!$D$128 - 360,'Intel T265'!G311-'Experimental Procedure'!$D$128))</f>
        <v>-3.8814666666666731</v>
      </c>
      <c r="M311" s="106">
        <f t="shared" ref="M311" si="107">(M152+M205+M258)/3</f>
        <v>4.4188417199089614</v>
      </c>
      <c r="N311" s="51">
        <f>IF('Experimental Procedure'!$E$128=0,"NaN",J311/'Experimental Procedure'!$E$128*100)</f>
        <v>2.2746500000000074</v>
      </c>
      <c r="O311" s="92">
        <f>IF('Experimental Procedure'!$G$128=0,"NaN",'Intel T265'!K311/'Experimental Procedure'!$G$128*100)</f>
        <v>3.5605515770898917</v>
      </c>
      <c r="P311" s="51" t="str">
        <f>IF('Experimental Procedure'!$F$128=0,"NaN",L311/'Experimental Procedure'!$F$128*100)</f>
        <v>NaN</v>
      </c>
      <c r="Q311" s="109" t="str">
        <f>IF('Experimental Procedure'!$H$128=0,"NaN",'Intel T265'!M311/'Experimental Procedure'!$H$128*100)</f>
        <v>NaN</v>
      </c>
    </row>
    <row r="312" spans="4:17" x14ac:dyDescent="0.25">
      <c r="D312" s="73"/>
      <c r="E312" s="9" t="s">
        <v>135</v>
      </c>
      <c r="F312" s="19">
        <f t="shared" si="76"/>
        <v>1.4007506666666665</v>
      </c>
      <c r="G312" s="49">
        <f t="shared" si="77"/>
        <v>90.03700666666667</v>
      </c>
      <c r="H312" s="87"/>
      <c r="I312" s="90"/>
      <c r="J312" s="19">
        <f>'Intel T265'!F312-'Experimental Procedure'!$C$129</f>
        <v>7.5066666666656623E-4</v>
      </c>
      <c r="K312" s="87"/>
      <c r="L312" s="49">
        <f>IF('Intel T265'!G312-'Experimental Procedure'!$D$129&lt;-180,'Intel T265'!G312-'Experimental Procedure'!$D$129 + 360,IF('Intel T265'!G312-'Experimental Procedure'!$D$129&gt;180,'Intel T265'!G312-'Experimental Procedure'!$D$129 - 360,'Intel T265'!G312-'Experimental Procedure'!$D$129))</f>
        <v>3.7006666666670185E-2</v>
      </c>
      <c r="M312" s="107"/>
      <c r="N312" s="52" t="str">
        <f>IF('Experimental Procedure'!$E$129=0,"NaN",J312/'Experimental Procedure'!$E$129*100)</f>
        <v>NaN</v>
      </c>
      <c r="O312" s="93"/>
      <c r="P312" s="52" t="str">
        <f>IF('Experimental Procedure'!$F$129=0,"NaN",L312/'Experimental Procedure'!$F$129*100)</f>
        <v>NaN</v>
      </c>
      <c r="Q312" s="110"/>
    </row>
    <row r="313" spans="4:17" ht="15.75" thickBot="1" x14ac:dyDescent="0.3">
      <c r="D313" s="74"/>
      <c r="E313" s="10" t="s">
        <v>136</v>
      </c>
      <c r="F313" s="21">
        <f t="shared" si="76"/>
        <v>-0.16435333333333332</v>
      </c>
      <c r="G313" s="50">
        <f t="shared" si="77"/>
        <v>-0.49721999999999045</v>
      </c>
      <c r="H313" s="88"/>
      <c r="I313" s="91"/>
      <c r="J313" s="21">
        <f>'Intel T265'!F313-'Experimental Procedure'!$C$130</f>
        <v>-0.16435333333333332</v>
      </c>
      <c r="K313" s="88"/>
      <c r="L313" s="50">
        <f>IF('Intel T265'!G313-'Experimental Procedure'!$D$130&lt;-180,'Intel T265'!G313-'Experimental Procedure'!$D$130 + 360,IF('Intel T265'!G313-'Experimental Procedure'!$D$130&gt;180,'Intel T265'!G313-'Experimental Procedure'!$D$130 - 360,'Intel T265'!G313-'Experimental Procedure'!$D$130))</f>
        <v>-0.49721999999999045</v>
      </c>
      <c r="M313" s="108"/>
      <c r="N313" s="53" t="str">
        <f>IF('Experimental Procedure'!$E$130=0,"NaN",J313/'Experimental Procedure'!$E$130*100)</f>
        <v>NaN</v>
      </c>
      <c r="O313" s="94"/>
      <c r="P313" s="53" t="str">
        <f>IF('Experimental Procedure'!$F$130=0,"NaN",L313/'Experimental Procedure'!$F$130*100)</f>
        <v>NaN</v>
      </c>
      <c r="Q313" s="111"/>
    </row>
    <row r="314" spans="4:17" x14ac:dyDescent="0.25">
      <c r="D314" s="83" t="s">
        <v>192</v>
      </c>
      <c r="E314" s="8" t="s">
        <v>134</v>
      </c>
      <c r="F314" s="17">
        <f t="shared" si="76"/>
        <v>5.9840333333333335</v>
      </c>
      <c r="G314" s="48">
        <f t="shared" si="77"/>
        <v>-7.8742999999999865</v>
      </c>
      <c r="H314" s="86">
        <f>SQRT((F311-F314)^2+(F312-F315)^2+(F313-F316)^2)</f>
        <v>0.20248213265681536</v>
      </c>
      <c r="I314" s="89"/>
      <c r="J314" s="17">
        <f>'Intel T265'!F314-'Experimental Procedure'!$C$131</f>
        <v>-1.5966666666666463E-2</v>
      </c>
      <c r="K314" s="86">
        <f t="shared" ref="K314" si="108">SQRT(J314^2+J315^2+J316^2)</f>
        <v>3.6093882790222444E-2</v>
      </c>
      <c r="L314" s="48">
        <f>IF('Intel T265'!G314-'Experimental Procedure'!$D$131&lt;-180,'Intel T265'!G314-'Experimental Procedure'!$D$131 + 360,IF('Intel T265'!G314-'Experimental Procedure'!$D$131&gt;180,'Intel T265'!G314-'Experimental Procedure'!$D$131 - 360,'Intel T265'!G314-'Experimental Procedure'!$D$131))</f>
        <v>-7.8742999999999865</v>
      </c>
      <c r="M314" s="106">
        <f t="shared" ref="M314" si="109">(M155+M208+M261)/3</f>
        <v>8.2153274902837179</v>
      </c>
      <c r="N314" s="51" t="str">
        <f>IF('Experimental Procedure'!$E$131=0,"NaN",J314/'Experimental Procedure'!$E$131*100)</f>
        <v>NaN</v>
      </c>
      <c r="O314" s="92" t="str">
        <f>IF('Experimental Procedure'!$G$131=0,"NaN",'Intel T265'!K314/'Experimental Procedure'!$G$131*100)</f>
        <v>NaN</v>
      </c>
      <c r="P314" s="51" t="str">
        <f>IF('Experimental Procedure'!$F$131=0,"NaN",L314/'Experimental Procedure'!$F$131*100)</f>
        <v>NaN</v>
      </c>
      <c r="Q314" s="109">
        <f>IF('Experimental Procedure'!$H$131=0,"NaN",'Intel T265'!M314/'Experimental Procedure'!$H$131*100)</f>
        <v>9.1281416558707988</v>
      </c>
    </row>
    <row r="315" spans="4:17" x14ac:dyDescent="0.25">
      <c r="D315" s="84"/>
      <c r="E315" s="9" t="s">
        <v>135</v>
      </c>
      <c r="F315" s="19">
        <f t="shared" si="76"/>
        <v>1.3920333333333332</v>
      </c>
      <c r="G315" s="49">
        <f t="shared" si="77"/>
        <v>6.9110999999999631E-2</v>
      </c>
      <c r="H315" s="87"/>
      <c r="I315" s="90"/>
      <c r="J315" s="19">
        <f>'Intel T265'!F315-'Experimental Procedure'!$C$132</f>
        <v>-7.9666666666666774E-3</v>
      </c>
      <c r="K315" s="87"/>
      <c r="L315" s="49">
        <f>IF('Intel T265'!G315-'Experimental Procedure'!$D$132&lt;-180,'Intel T265'!G315-'Experimental Procedure'!$D$132 + 360,IF('Intel T265'!G315-'Experimental Procedure'!$D$132&gt;180,'Intel T265'!G315-'Experimental Procedure'!$D$132 - 360,'Intel T265'!G315-'Experimental Procedure'!$D$132))</f>
        <v>6.9110999999999631E-2</v>
      </c>
      <c r="M315" s="107"/>
      <c r="N315" s="52" t="str">
        <f>IF('Experimental Procedure'!$E$132=0,"NaN",J315/'Experimental Procedure'!$E$132*100)</f>
        <v>NaN</v>
      </c>
      <c r="O315" s="93"/>
      <c r="P315" s="52">
        <f>IF('Experimental Procedure'!$F$132=0,"NaN",L315/'Experimental Procedure'!$F$132*100)</f>
        <v>7.6789999999999595E-2</v>
      </c>
      <c r="Q315" s="110"/>
    </row>
    <row r="316" spans="4:17" ht="15.75" thickBot="1" x14ac:dyDescent="0.3">
      <c r="D316" s="85"/>
      <c r="E316" s="10" t="s">
        <v>136</v>
      </c>
      <c r="F316" s="21">
        <f t="shared" si="76"/>
        <v>-3.1374609999999997E-2</v>
      </c>
      <c r="G316" s="50">
        <f t="shared" si="77"/>
        <v>-0.42902550000000272</v>
      </c>
      <c r="H316" s="88"/>
      <c r="I316" s="91"/>
      <c r="J316" s="21">
        <f>'Intel T265'!F316-'Experimental Procedure'!$C$133</f>
        <v>-3.1374609999999997E-2</v>
      </c>
      <c r="K316" s="88"/>
      <c r="L316" s="50">
        <f>IF('Intel T265'!G316-'Experimental Procedure'!$D$133&lt;-180,'Intel T265'!G316-'Experimental Procedure'!$D$133 + 360,IF('Intel T265'!G316-'Experimental Procedure'!$D$133&gt;180,'Intel T265'!G316-'Experimental Procedure'!$D$133 - 360,'Intel T265'!G316-'Experimental Procedure'!$D$133))</f>
        <v>-0.42902550000000272</v>
      </c>
      <c r="M316" s="108"/>
      <c r="N316" s="53" t="str">
        <f>IF('Experimental Procedure'!$E$133=0,"NaN",J316/'Experimental Procedure'!$E$133*100)</f>
        <v>NaN</v>
      </c>
      <c r="O316" s="94"/>
      <c r="P316" s="53" t="str">
        <f>IF('Experimental Procedure'!$F$133=0,"NaN",L316/'Experimental Procedure'!$F$133*100)</f>
        <v>NaN</v>
      </c>
      <c r="Q316" s="111"/>
    </row>
  </sheetData>
  <sheetProtection selectLockedCells="1" selectUnlockedCells="1"/>
  <mergeCells count="675">
    <mergeCell ref="K1:L1"/>
    <mergeCell ref="D311:D313"/>
    <mergeCell ref="H311:H313"/>
    <mergeCell ref="I311:I313"/>
    <mergeCell ref="K311:K313"/>
    <mergeCell ref="M311:M313"/>
    <mergeCell ref="O311:O313"/>
    <mergeCell ref="Q311:Q313"/>
    <mergeCell ref="D314:D316"/>
    <mergeCell ref="H314:H316"/>
    <mergeCell ref="I314:I316"/>
    <mergeCell ref="K314:K316"/>
    <mergeCell ref="M314:M316"/>
    <mergeCell ref="O314:O316"/>
    <mergeCell ref="Q314:Q316"/>
    <mergeCell ref="D305:D307"/>
    <mergeCell ref="H305:H307"/>
    <mergeCell ref="I305:I307"/>
    <mergeCell ref="K305:K307"/>
    <mergeCell ref="M305:M307"/>
    <mergeCell ref="O305:O307"/>
    <mergeCell ref="Q305:Q307"/>
    <mergeCell ref="D308:D310"/>
    <mergeCell ref="H308:H310"/>
    <mergeCell ref="I308:I310"/>
    <mergeCell ref="K308:K310"/>
    <mergeCell ref="M308:M310"/>
    <mergeCell ref="O308:O310"/>
    <mergeCell ref="Q308:Q310"/>
    <mergeCell ref="D299:D301"/>
    <mergeCell ref="H299:H301"/>
    <mergeCell ref="I299:I301"/>
    <mergeCell ref="K299:K301"/>
    <mergeCell ref="M299:M301"/>
    <mergeCell ref="O299:O301"/>
    <mergeCell ref="Q299:Q301"/>
    <mergeCell ref="D302:D304"/>
    <mergeCell ref="H302:H304"/>
    <mergeCell ref="I302:I304"/>
    <mergeCell ref="K302:K304"/>
    <mergeCell ref="M302:M304"/>
    <mergeCell ref="O302:O304"/>
    <mergeCell ref="Q302:Q304"/>
    <mergeCell ref="D293:D295"/>
    <mergeCell ref="H293:H295"/>
    <mergeCell ref="I293:I295"/>
    <mergeCell ref="K293:K295"/>
    <mergeCell ref="M293:M295"/>
    <mergeCell ref="O293:O295"/>
    <mergeCell ref="Q293:Q295"/>
    <mergeCell ref="D296:D298"/>
    <mergeCell ref="H296:H298"/>
    <mergeCell ref="I296:I298"/>
    <mergeCell ref="K296:K298"/>
    <mergeCell ref="M296:M298"/>
    <mergeCell ref="O296:O298"/>
    <mergeCell ref="Q296:Q298"/>
    <mergeCell ref="D287:D289"/>
    <mergeCell ref="H287:H289"/>
    <mergeCell ref="I287:I289"/>
    <mergeCell ref="K287:K289"/>
    <mergeCell ref="M287:M289"/>
    <mergeCell ref="O287:O289"/>
    <mergeCell ref="Q287:Q289"/>
    <mergeCell ref="D290:D292"/>
    <mergeCell ref="H290:H292"/>
    <mergeCell ref="I290:I292"/>
    <mergeCell ref="K290:K292"/>
    <mergeCell ref="M290:M292"/>
    <mergeCell ref="O290:O292"/>
    <mergeCell ref="Q290:Q292"/>
    <mergeCell ref="D281:D283"/>
    <mergeCell ref="H281:H283"/>
    <mergeCell ref="I281:I283"/>
    <mergeCell ref="K281:K283"/>
    <mergeCell ref="M281:M283"/>
    <mergeCell ref="O281:O283"/>
    <mergeCell ref="Q281:Q283"/>
    <mergeCell ref="D284:D286"/>
    <mergeCell ref="H284:H286"/>
    <mergeCell ref="I284:I286"/>
    <mergeCell ref="K284:K286"/>
    <mergeCell ref="M284:M286"/>
    <mergeCell ref="O284:O286"/>
    <mergeCell ref="Q284:Q286"/>
    <mergeCell ref="D275:D277"/>
    <mergeCell ref="H275:H277"/>
    <mergeCell ref="I275:I277"/>
    <mergeCell ref="K275:K277"/>
    <mergeCell ref="M275:M277"/>
    <mergeCell ref="O275:O277"/>
    <mergeCell ref="Q275:Q277"/>
    <mergeCell ref="D278:D280"/>
    <mergeCell ref="H278:H280"/>
    <mergeCell ref="I278:I280"/>
    <mergeCell ref="K278:K280"/>
    <mergeCell ref="M278:M280"/>
    <mergeCell ref="O278:O280"/>
    <mergeCell ref="Q278:Q280"/>
    <mergeCell ref="D269:D271"/>
    <mergeCell ref="H269:H271"/>
    <mergeCell ref="I269:I271"/>
    <mergeCell ref="K269:K271"/>
    <mergeCell ref="M269:M271"/>
    <mergeCell ref="O269:O271"/>
    <mergeCell ref="Q269:Q271"/>
    <mergeCell ref="D272:D274"/>
    <mergeCell ref="H272:H274"/>
    <mergeCell ref="I272:I274"/>
    <mergeCell ref="K272:K274"/>
    <mergeCell ref="M272:M274"/>
    <mergeCell ref="O272:O274"/>
    <mergeCell ref="Q272:Q274"/>
    <mergeCell ref="D261:D263"/>
    <mergeCell ref="H261:H263"/>
    <mergeCell ref="I261:I263"/>
    <mergeCell ref="K261:K263"/>
    <mergeCell ref="M261:M263"/>
    <mergeCell ref="O261:O263"/>
    <mergeCell ref="Q261:Q263"/>
    <mergeCell ref="D265:E265"/>
    <mergeCell ref="D266:D268"/>
    <mergeCell ref="H266:H268"/>
    <mergeCell ref="I266:I268"/>
    <mergeCell ref="K266:K268"/>
    <mergeCell ref="M266:M268"/>
    <mergeCell ref="O266:O268"/>
    <mergeCell ref="Q266:Q268"/>
    <mergeCell ref="D255:D257"/>
    <mergeCell ref="H255:H257"/>
    <mergeCell ref="I255:I257"/>
    <mergeCell ref="K255:K257"/>
    <mergeCell ref="M255:M257"/>
    <mergeCell ref="O255:O257"/>
    <mergeCell ref="Q255:Q257"/>
    <mergeCell ref="D258:D260"/>
    <mergeCell ref="H258:H260"/>
    <mergeCell ref="I258:I260"/>
    <mergeCell ref="K258:K260"/>
    <mergeCell ref="M258:M260"/>
    <mergeCell ref="O258:O260"/>
    <mergeCell ref="Q258:Q260"/>
    <mergeCell ref="D249:D251"/>
    <mergeCell ref="H249:H251"/>
    <mergeCell ref="I249:I251"/>
    <mergeCell ref="K249:K251"/>
    <mergeCell ref="M249:M251"/>
    <mergeCell ref="O249:O251"/>
    <mergeCell ref="Q249:Q251"/>
    <mergeCell ref="D252:D254"/>
    <mergeCell ref="H252:H254"/>
    <mergeCell ref="I252:I254"/>
    <mergeCell ref="K252:K254"/>
    <mergeCell ref="M252:M254"/>
    <mergeCell ref="O252:O254"/>
    <mergeCell ref="Q252:Q254"/>
    <mergeCell ref="D243:D245"/>
    <mergeCell ref="H243:H245"/>
    <mergeCell ref="I243:I245"/>
    <mergeCell ref="K243:K245"/>
    <mergeCell ref="M243:M245"/>
    <mergeCell ref="O243:O245"/>
    <mergeCell ref="Q243:Q245"/>
    <mergeCell ref="D246:D248"/>
    <mergeCell ref="H246:H248"/>
    <mergeCell ref="I246:I248"/>
    <mergeCell ref="K246:K248"/>
    <mergeCell ref="M246:M248"/>
    <mergeCell ref="O246:O248"/>
    <mergeCell ref="Q246:Q248"/>
    <mergeCell ref="D237:D239"/>
    <mergeCell ref="H237:H239"/>
    <mergeCell ref="I237:I239"/>
    <mergeCell ref="K237:K239"/>
    <mergeCell ref="M237:M239"/>
    <mergeCell ref="O237:O239"/>
    <mergeCell ref="Q237:Q239"/>
    <mergeCell ref="D240:D242"/>
    <mergeCell ref="H240:H242"/>
    <mergeCell ref="I240:I242"/>
    <mergeCell ref="K240:K242"/>
    <mergeCell ref="M240:M242"/>
    <mergeCell ref="O240:O242"/>
    <mergeCell ref="Q240:Q242"/>
    <mergeCell ref="D231:D233"/>
    <mergeCell ref="H231:H233"/>
    <mergeCell ref="I231:I233"/>
    <mergeCell ref="K231:K233"/>
    <mergeCell ref="M231:M233"/>
    <mergeCell ref="O231:O233"/>
    <mergeCell ref="Q231:Q233"/>
    <mergeCell ref="D234:D236"/>
    <mergeCell ref="H234:H236"/>
    <mergeCell ref="I234:I236"/>
    <mergeCell ref="K234:K236"/>
    <mergeCell ref="M234:M236"/>
    <mergeCell ref="O234:O236"/>
    <mergeCell ref="Q234:Q236"/>
    <mergeCell ref="D225:D227"/>
    <mergeCell ref="H225:H227"/>
    <mergeCell ref="I225:I227"/>
    <mergeCell ref="K225:K227"/>
    <mergeCell ref="M225:M227"/>
    <mergeCell ref="O225:O227"/>
    <mergeCell ref="Q225:Q227"/>
    <mergeCell ref="D228:D230"/>
    <mergeCell ref="H228:H230"/>
    <mergeCell ref="I228:I230"/>
    <mergeCell ref="K228:K230"/>
    <mergeCell ref="M228:M230"/>
    <mergeCell ref="O228:O230"/>
    <mergeCell ref="Q228:Q230"/>
    <mergeCell ref="D219:D221"/>
    <mergeCell ref="H219:H221"/>
    <mergeCell ref="I219:I221"/>
    <mergeCell ref="K219:K221"/>
    <mergeCell ref="M219:M221"/>
    <mergeCell ref="O219:O221"/>
    <mergeCell ref="Q219:Q221"/>
    <mergeCell ref="D222:D224"/>
    <mergeCell ref="H222:H224"/>
    <mergeCell ref="I222:I224"/>
    <mergeCell ref="K222:K224"/>
    <mergeCell ref="M222:M224"/>
    <mergeCell ref="O222:O224"/>
    <mergeCell ref="Q222:Q224"/>
    <mergeCell ref="D212:E212"/>
    <mergeCell ref="D213:D215"/>
    <mergeCell ref="H213:H215"/>
    <mergeCell ref="I213:I215"/>
    <mergeCell ref="K213:K215"/>
    <mergeCell ref="M213:M215"/>
    <mergeCell ref="O213:O215"/>
    <mergeCell ref="Q213:Q215"/>
    <mergeCell ref="D216:D218"/>
    <mergeCell ref="H216:H218"/>
    <mergeCell ref="I216:I218"/>
    <mergeCell ref="K216:K218"/>
    <mergeCell ref="M216:M218"/>
    <mergeCell ref="O216:O218"/>
    <mergeCell ref="Q216:Q218"/>
    <mergeCell ref="I44:I46"/>
    <mergeCell ref="I47:I49"/>
    <mergeCell ref="I50:I52"/>
    <mergeCell ref="I55:I57"/>
    <mergeCell ref="I58:I60"/>
    <mergeCell ref="I61:I63"/>
    <mergeCell ref="I64:I66"/>
    <mergeCell ref="I67:I69"/>
    <mergeCell ref="I72:I74"/>
    <mergeCell ref="D155:D157"/>
    <mergeCell ref="K155:K157"/>
    <mergeCell ref="M155:M157"/>
    <mergeCell ref="O155:O157"/>
    <mergeCell ref="Q155:Q157"/>
    <mergeCell ref="H155:H157"/>
    <mergeCell ref="I155:I157"/>
    <mergeCell ref="D149:D151"/>
    <mergeCell ref="K149:K151"/>
    <mergeCell ref="M149:M151"/>
    <mergeCell ref="O149:O151"/>
    <mergeCell ref="Q149:Q151"/>
    <mergeCell ref="D152:D154"/>
    <mergeCell ref="K152:K154"/>
    <mergeCell ref="M152:M154"/>
    <mergeCell ref="O152:O154"/>
    <mergeCell ref="Q152:Q154"/>
    <mergeCell ref="H149:H151"/>
    <mergeCell ref="H152:H154"/>
    <mergeCell ref="I149:I151"/>
    <mergeCell ref="I152:I154"/>
    <mergeCell ref="D143:D145"/>
    <mergeCell ref="K143:K145"/>
    <mergeCell ref="M143:M145"/>
    <mergeCell ref="O143:O145"/>
    <mergeCell ref="Q143:Q145"/>
    <mergeCell ref="D146:D148"/>
    <mergeCell ref="K146:K148"/>
    <mergeCell ref="M146:M148"/>
    <mergeCell ref="O146:O148"/>
    <mergeCell ref="Q146:Q148"/>
    <mergeCell ref="H143:H145"/>
    <mergeCell ref="H146:H148"/>
    <mergeCell ref="I143:I145"/>
    <mergeCell ref="I146:I148"/>
    <mergeCell ref="D137:D139"/>
    <mergeCell ref="K137:K139"/>
    <mergeCell ref="M137:M139"/>
    <mergeCell ref="O137:O139"/>
    <mergeCell ref="Q137:Q139"/>
    <mergeCell ref="D140:D142"/>
    <mergeCell ref="K140:K142"/>
    <mergeCell ref="M140:M142"/>
    <mergeCell ref="O140:O142"/>
    <mergeCell ref="Q140:Q142"/>
    <mergeCell ref="H137:H139"/>
    <mergeCell ref="H140:H142"/>
    <mergeCell ref="I137:I139"/>
    <mergeCell ref="I140:I142"/>
    <mergeCell ref="D131:D133"/>
    <mergeCell ref="K131:K133"/>
    <mergeCell ref="M131:M133"/>
    <mergeCell ref="O131:O133"/>
    <mergeCell ref="Q131:Q133"/>
    <mergeCell ref="D134:D136"/>
    <mergeCell ref="K134:K136"/>
    <mergeCell ref="M134:M136"/>
    <mergeCell ref="O134:O136"/>
    <mergeCell ref="Q134:Q136"/>
    <mergeCell ref="H131:H133"/>
    <mergeCell ref="H134:H136"/>
    <mergeCell ref="I131:I133"/>
    <mergeCell ref="I134:I136"/>
    <mergeCell ref="D125:D127"/>
    <mergeCell ref="K125:K127"/>
    <mergeCell ref="M125:M127"/>
    <mergeCell ref="O125:O127"/>
    <mergeCell ref="Q125:Q127"/>
    <mergeCell ref="D128:D130"/>
    <mergeCell ref="K128:K130"/>
    <mergeCell ref="M128:M130"/>
    <mergeCell ref="O128:O130"/>
    <mergeCell ref="Q128:Q130"/>
    <mergeCell ref="H125:H127"/>
    <mergeCell ref="H128:H130"/>
    <mergeCell ref="I125:I127"/>
    <mergeCell ref="I128:I130"/>
    <mergeCell ref="D119:D121"/>
    <mergeCell ref="K119:K121"/>
    <mergeCell ref="M119:M121"/>
    <mergeCell ref="O119:O121"/>
    <mergeCell ref="Q119:Q121"/>
    <mergeCell ref="D122:D124"/>
    <mergeCell ref="K122:K124"/>
    <mergeCell ref="M122:M124"/>
    <mergeCell ref="O122:O124"/>
    <mergeCell ref="Q122:Q124"/>
    <mergeCell ref="H119:H121"/>
    <mergeCell ref="H122:H124"/>
    <mergeCell ref="I119:I121"/>
    <mergeCell ref="I122:I124"/>
    <mergeCell ref="D113:D115"/>
    <mergeCell ref="K113:K115"/>
    <mergeCell ref="M113:M115"/>
    <mergeCell ref="O113:O115"/>
    <mergeCell ref="Q113:Q115"/>
    <mergeCell ref="D116:D118"/>
    <mergeCell ref="K116:K118"/>
    <mergeCell ref="M116:M118"/>
    <mergeCell ref="O116:O118"/>
    <mergeCell ref="Q116:Q118"/>
    <mergeCell ref="H113:H115"/>
    <mergeCell ref="H116:H118"/>
    <mergeCell ref="I113:I115"/>
    <mergeCell ref="I116:I118"/>
    <mergeCell ref="D106:E106"/>
    <mergeCell ref="D107:D109"/>
    <mergeCell ref="K107:K109"/>
    <mergeCell ref="M107:M109"/>
    <mergeCell ref="O107:O109"/>
    <mergeCell ref="Q107:Q109"/>
    <mergeCell ref="D110:D112"/>
    <mergeCell ref="K110:K112"/>
    <mergeCell ref="M110:M112"/>
    <mergeCell ref="O110:O112"/>
    <mergeCell ref="Q110:Q112"/>
    <mergeCell ref="H107:H109"/>
    <mergeCell ref="H110:H112"/>
    <mergeCell ref="I107:I109"/>
    <mergeCell ref="I110:I112"/>
    <mergeCell ref="D64:D66"/>
    <mergeCell ref="K64:K66"/>
    <mergeCell ref="M64:M66"/>
    <mergeCell ref="O64:O66"/>
    <mergeCell ref="Q64:Q66"/>
    <mergeCell ref="D67:D69"/>
    <mergeCell ref="K67:K69"/>
    <mergeCell ref="M67:M69"/>
    <mergeCell ref="O67:O69"/>
    <mergeCell ref="Q67:Q69"/>
    <mergeCell ref="H64:H66"/>
    <mergeCell ref="H67:H69"/>
    <mergeCell ref="O55:O57"/>
    <mergeCell ref="Q55:Q57"/>
    <mergeCell ref="D58:D60"/>
    <mergeCell ref="K58:K60"/>
    <mergeCell ref="M58:M60"/>
    <mergeCell ref="O58:O60"/>
    <mergeCell ref="Q58:Q60"/>
    <mergeCell ref="D61:D63"/>
    <mergeCell ref="K61:K63"/>
    <mergeCell ref="M61:M63"/>
    <mergeCell ref="O61:O63"/>
    <mergeCell ref="Q61:Q63"/>
    <mergeCell ref="H55:H57"/>
    <mergeCell ref="H58:H60"/>
    <mergeCell ref="H61:H63"/>
    <mergeCell ref="D12:E12"/>
    <mergeCell ref="D13:D15"/>
    <mergeCell ref="D16:D18"/>
    <mergeCell ref="D19:D21"/>
    <mergeCell ref="D22:D24"/>
    <mergeCell ref="D54:E54"/>
    <mergeCell ref="D55:D57"/>
    <mergeCell ref="K55:K57"/>
    <mergeCell ref="M55:M57"/>
    <mergeCell ref="H13:H15"/>
    <mergeCell ref="H16:H18"/>
    <mergeCell ref="H19:H21"/>
    <mergeCell ref="H22:H24"/>
    <mergeCell ref="H25:H27"/>
    <mergeCell ref="H28:H30"/>
    <mergeCell ref="H31:H33"/>
    <mergeCell ref="H38:H40"/>
    <mergeCell ref="H41:H43"/>
    <mergeCell ref="H44:H46"/>
    <mergeCell ref="H47:H49"/>
    <mergeCell ref="H50:H52"/>
    <mergeCell ref="D44:D46"/>
    <mergeCell ref="D47:D49"/>
    <mergeCell ref="D50:D52"/>
    <mergeCell ref="K13:K15"/>
    <mergeCell ref="K28:K30"/>
    <mergeCell ref="K31:K33"/>
    <mergeCell ref="D25:D27"/>
    <mergeCell ref="D28:D30"/>
    <mergeCell ref="D31:D33"/>
    <mergeCell ref="D37:E37"/>
    <mergeCell ref="D38:D40"/>
    <mergeCell ref="D41:D43"/>
    <mergeCell ref="K25:K27"/>
    <mergeCell ref="I13:I15"/>
    <mergeCell ref="I16:I18"/>
    <mergeCell ref="I19:I21"/>
    <mergeCell ref="I22:I24"/>
    <mergeCell ref="I25:I27"/>
    <mergeCell ref="I28:I30"/>
    <mergeCell ref="I31:I33"/>
    <mergeCell ref="I38:I40"/>
    <mergeCell ref="I41:I43"/>
    <mergeCell ref="K50:K52"/>
    <mergeCell ref="K38:K40"/>
    <mergeCell ref="K41:K43"/>
    <mergeCell ref="K16:K18"/>
    <mergeCell ref="K19:K21"/>
    <mergeCell ref="K22:K24"/>
    <mergeCell ref="Q28:Q30"/>
    <mergeCell ref="M28:M30"/>
    <mergeCell ref="Q13:Q15"/>
    <mergeCell ref="Q16:Q18"/>
    <mergeCell ref="Q19:Q21"/>
    <mergeCell ref="Q22:Q24"/>
    <mergeCell ref="Q25:Q27"/>
    <mergeCell ref="M16:M18"/>
    <mergeCell ref="M19:M21"/>
    <mergeCell ref="M22:M24"/>
    <mergeCell ref="M25:M27"/>
    <mergeCell ref="M13:M15"/>
    <mergeCell ref="Q31:Q33"/>
    <mergeCell ref="M31:M33"/>
    <mergeCell ref="O16:O18"/>
    <mergeCell ref="O19:O21"/>
    <mergeCell ref="O22:O24"/>
    <mergeCell ref="O25:O27"/>
    <mergeCell ref="O28:O30"/>
    <mergeCell ref="O31:O33"/>
    <mergeCell ref="O13:O15"/>
    <mergeCell ref="M50:M52"/>
    <mergeCell ref="O50:O52"/>
    <mergeCell ref="Q38:Q40"/>
    <mergeCell ref="Q41:Q43"/>
    <mergeCell ref="Q44:Q46"/>
    <mergeCell ref="Q47:Q49"/>
    <mergeCell ref="Q50:Q52"/>
    <mergeCell ref="K44:K46"/>
    <mergeCell ref="K47:K49"/>
    <mergeCell ref="M38:M40"/>
    <mergeCell ref="M41:M43"/>
    <mergeCell ref="M44:M46"/>
    <mergeCell ref="M47:M49"/>
    <mergeCell ref="O38:O40"/>
    <mergeCell ref="O41:O43"/>
    <mergeCell ref="O44:O46"/>
    <mergeCell ref="O47:O49"/>
    <mergeCell ref="Q72:Q74"/>
    <mergeCell ref="D75:D77"/>
    <mergeCell ref="K75:K77"/>
    <mergeCell ref="M75:M77"/>
    <mergeCell ref="O75:O77"/>
    <mergeCell ref="Q75:Q77"/>
    <mergeCell ref="D71:E71"/>
    <mergeCell ref="D72:D74"/>
    <mergeCell ref="K72:K74"/>
    <mergeCell ref="M72:M74"/>
    <mergeCell ref="O72:O74"/>
    <mergeCell ref="H72:H74"/>
    <mergeCell ref="H75:H77"/>
    <mergeCell ref="I75:I77"/>
    <mergeCell ref="Q84:Q86"/>
    <mergeCell ref="D81:D83"/>
    <mergeCell ref="K81:K83"/>
    <mergeCell ref="M81:M83"/>
    <mergeCell ref="O81:O83"/>
    <mergeCell ref="Q81:Q83"/>
    <mergeCell ref="D78:D80"/>
    <mergeCell ref="K78:K80"/>
    <mergeCell ref="M78:M80"/>
    <mergeCell ref="O78:O80"/>
    <mergeCell ref="Q78:Q80"/>
    <mergeCell ref="H78:H80"/>
    <mergeCell ref="H81:H83"/>
    <mergeCell ref="H84:H86"/>
    <mergeCell ref="I78:I80"/>
    <mergeCell ref="I81:I83"/>
    <mergeCell ref="I84:I86"/>
    <mergeCell ref="D88:E88"/>
    <mergeCell ref="D89:D91"/>
    <mergeCell ref="K89:K91"/>
    <mergeCell ref="M89:M91"/>
    <mergeCell ref="O89:O91"/>
    <mergeCell ref="D84:D86"/>
    <mergeCell ref="K84:K86"/>
    <mergeCell ref="M84:M86"/>
    <mergeCell ref="O84:O86"/>
    <mergeCell ref="H89:H91"/>
    <mergeCell ref="I89:I91"/>
    <mergeCell ref="D95:D97"/>
    <mergeCell ref="K95:K97"/>
    <mergeCell ref="M95:M97"/>
    <mergeCell ref="O95:O97"/>
    <mergeCell ref="Q95:Q97"/>
    <mergeCell ref="Q89:Q91"/>
    <mergeCell ref="D92:D94"/>
    <mergeCell ref="K92:K94"/>
    <mergeCell ref="M92:M94"/>
    <mergeCell ref="O92:O94"/>
    <mergeCell ref="Q92:Q94"/>
    <mergeCell ref="H92:H94"/>
    <mergeCell ref="H95:H97"/>
    <mergeCell ref="I92:I94"/>
    <mergeCell ref="I95:I97"/>
    <mergeCell ref="D101:D103"/>
    <mergeCell ref="K101:K103"/>
    <mergeCell ref="M101:M103"/>
    <mergeCell ref="O101:O103"/>
    <mergeCell ref="Q101:Q103"/>
    <mergeCell ref="D98:D100"/>
    <mergeCell ref="K98:K100"/>
    <mergeCell ref="M98:M100"/>
    <mergeCell ref="O98:O100"/>
    <mergeCell ref="Q98:Q100"/>
    <mergeCell ref="H98:H100"/>
    <mergeCell ref="H101:H103"/>
    <mergeCell ref="I98:I100"/>
    <mergeCell ref="I101:I103"/>
    <mergeCell ref="D159:E159"/>
    <mergeCell ref="D160:D162"/>
    <mergeCell ref="H160:H162"/>
    <mergeCell ref="I160:I162"/>
    <mergeCell ref="K160:K162"/>
    <mergeCell ref="M160:M162"/>
    <mergeCell ref="O160:O162"/>
    <mergeCell ref="Q160:Q162"/>
    <mergeCell ref="D163:D165"/>
    <mergeCell ref="H163:H165"/>
    <mergeCell ref="I163:I165"/>
    <mergeCell ref="K163:K165"/>
    <mergeCell ref="M163:M165"/>
    <mergeCell ref="O163:O165"/>
    <mergeCell ref="Q163:Q165"/>
    <mergeCell ref="D166:D168"/>
    <mergeCell ref="H166:H168"/>
    <mergeCell ref="I166:I168"/>
    <mergeCell ref="K166:K168"/>
    <mergeCell ref="M166:M168"/>
    <mergeCell ref="O166:O168"/>
    <mergeCell ref="Q166:Q168"/>
    <mergeCell ref="D169:D171"/>
    <mergeCell ref="H169:H171"/>
    <mergeCell ref="I169:I171"/>
    <mergeCell ref="K169:K171"/>
    <mergeCell ref="M169:M171"/>
    <mergeCell ref="O169:O171"/>
    <mergeCell ref="Q169:Q171"/>
    <mergeCell ref="D172:D174"/>
    <mergeCell ref="H172:H174"/>
    <mergeCell ref="I172:I174"/>
    <mergeCell ref="K172:K174"/>
    <mergeCell ref="M172:M174"/>
    <mergeCell ref="O172:O174"/>
    <mergeCell ref="Q172:Q174"/>
    <mergeCell ref="D175:D177"/>
    <mergeCell ref="H175:H177"/>
    <mergeCell ref="I175:I177"/>
    <mergeCell ref="K175:K177"/>
    <mergeCell ref="M175:M177"/>
    <mergeCell ref="O175:O177"/>
    <mergeCell ref="Q175:Q177"/>
    <mergeCell ref="D178:D180"/>
    <mergeCell ref="H178:H180"/>
    <mergeCell ref="I178:I180"/>
    <mergeCell ref="K178:K180"/>
    <mergeCell ref="M178:M180"/>
    <mergeCell ref="O178:O180"/>
    <mergeCell ref="Q178:Q180"/>
    <mergeCell ref="D181:D183"/>
    <mergeCell ref="H181:H183"/>
    <mergeCell ref="I181:I183"/>
    <mergeCell ref="K181:K183"/>
    <mergeCell ref="M181:M183"/>
    <mergeCell ref="O181:O183"/>
    <mergeCell ref="Q181:Q183"/>
    <mergeCell ref="D184:D186"/>
    <mergeCell ref="H184:H186"/>
    <mergeCell ref="I184:I186"/>
    <mergeCell ref="K184:K186"/>
    <mergeCell ref="M184:M186"/>
    <mergeCell ref="O184:O186"/>
    <mergeCell ref="Q184:Q186"/>
    <mergeCell ref="D187:D189"/>
    <mergeCell ref="H187:H189"/>
    <mergeCell ref="I187:I189"/>
    <mergeCell ref="K187:K189"/>
    <mergeCell ref="M187:M189"/>
    <mergeCell ref="O187:O189"/>
    <mergeCell ref="Q187:Q189"/>
    <mergeCell ref="D190:D192"/>
    <mergeCell ref="H190:H192"/>
    <mergeCell ref="I190:I192"/>
    <mergeCell ref="K190:K192"/>
    <mergeCell ref="M190:M192"/>
    <mergeCell ref="O190:O192"/>
    <mergeCell ref="Q190:Q192"/>
    <mergeCell ref="D193:D195"/>
    <mergeCell ref="H193:H195"/>
    <mergeCell ref="I193:I195"/>
    <mergeCell ref="K193:K195"/>
    <mergeCell ref="M193:M195"/>
    <mergeCell ref="O193:O195"/>
    <mergeCell ref="Q193:Q195"/>
    <mergeCell ref="D196:D198"/>
    <mergeCell ref="H196:H198"/>
    <mergeCell ref="I196:I198"/>
    <mergeCell ref="K196:K198"/>
    <mergeCell ref="M196:M198"/>
    <mergeCell ref="O196:O198"/>
    <mergeCell ref="Q196:Q198"/>
    <mergeCell ref="D199:D201"/>
    <mergeCell ref="H199:H201"/>
    <mergeCell ref="I199:I201"/>
    <mergeCell ref="K199:K201"/>
    <mergeCell ref="M199:M201"/>
    <mergeCell ref="O199:O201"/>
    <mergeCell ref="Q199:Q201"/>
    <mergeCell ref="D208:D210"/>
    <mergeCell ref="H208:H210"/>
    <mergeCell ref="I208:I210"/>
    <mergeCell ref="K208:K210"/>
    <mergeCell ref="M208:M210"/>
    <mergeCell ref="O208:O210"/>
    <mergeCell ref="Q208:Q210"/>
    <mergeCell ref="D202:D204"/>
    <mergeCell ref="H202:H204"/>
    <mergeCell ref="I202:I204"/>
    <mergeCell ref="K202:K204"/>
    <mergeCell ref="M202:M204"/>
    <mergeCell ref="O202:O204"/>
    <mergeCell ref="Q202:Q204"/>
    <mergeCell ref="D205:D207"/>
    <mergeCell ref="H205:H207"/>
    <mergeCell ref="I205:I207"/>
    <mergeCell ref="K205:K207"/>
    <mergeCell ref="M205:M207"/>
    <mergeCell ref="O205:O207"/>
    <mergeCell ref="Q205:Q207"/>
  </mergeCells>
  <pageMargins left="0.7" right="0.7" top="0.75" bottom="0.75" header="0.51180555555555551" footer="0.51180555555555551"/>
  <pageSetup paperSize="9" firstPageNumber="0" orientation="portrait" horizontalDpi="300" verticalDpi="300" r:id="rId1"/>
  <headerFooter alignWithMargins="0"/>
  <extLst>
    <ext xmlns:x14="http://schemas.microsoft.com/office/spreadsheetml/2009/9/main" uri="{05C60535-1F16-4fd2-B633-F4F36F0B64E0}">
      <x14:sparklineGroups xmlns:xm="http://schemas.microsoft.com/office/excel/2006/main">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'Intel T265'!O89:O103</xm:f>
              <xm:sqref>A89</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Q316"/>
  <sheetViews>
    <sheetView tabSelected="1" topLeftCell="C1" zoomScale="85" zoomScaleNormal="85" workbookViewId="0">
      <selection activeCell="S118" sqref="S118"/>
    </sheetView>
  </sheetViews>
  <sheetFormatPr baseColWidth="10" defaultColWidth="9" defaultRowHeight="15" x14ac:dyDescent="0.25"/>
  <cols>
    <col min="1" max="1" width="31.5703125" style="63" customWidth="1"/>
    <col min="2" max="2" width="52.140625" style="63" customWidth="1"/>
    <col min="3" max="3" width="9" style="63"/>
    <col min="4" max="4" width="12.28515625" style="63" customWidth="1"/>
    <col min="5" max="5" width="9.42578125" style="63" customWidth="1"/>
    <col min="6" max="6" width="11.85546875" style="63" customWidth="1"/>
    <col min="7" max="7" width="22.7109375" style="63" customWidth="1"/>
    <col min="8" max="9" width="18.5703125" style="63" customWidth="1"/>
    <col min="10" max="10" width="16.28515625" style="63" customWidth="1"/>
    <col min="11" max="11" width="22.42578125" style="63" customWidth="1"/>
    <col min="12" max="12" width="17" style="63" customWidth="1"/>
    <col min="13" max="13" width="20.85546875" style="63" customWidth="1"/>
    <col min="14" max="14" width="16.28515625" style="63" customWidth="1"/>
    <col min="15" max="15" width="22.42578125" style="63" customWidth="1"/>
    <col min="16" max="16" width="16.85546875" style="63" customWidth="1"/>
    <col min="17" max="17" width="21.140625" style="63" customWidth="1"/>
    <col min="18" max="16384" width="9" style="63"/>
  </cols>
  <sheetData>
    <row r="1" spans="1:17" x14ac:dyDescent="0.25">
      <c r="A1" s="2" t="s">
        <v>47</v>
      </c>
      <c r="D1" s="2" t="s">
        <v>48</v>
      </c>
      <c r="K1" s="104" t="s">
        <v>115</v>
      </c>
      <c r="L1" s="104"/>
    </row>
    <row r="2" spans="1:17" x14ac:dyDescent="0.25">
      <c r="D2" s="4"/>
    </row>
    <row r="3" spans="1:17" x14ac:dyDescent="0.25">
      <c r="A3" s="2" t="s">
        <v>49</v>
      </c>
      <c r="D3" s="63" t="s">
        <v>50</v>
      </c>
      <c r="K3" s="58" t="s">
        <v>184</v>
      </c>
      <c r="L3" s="57">
        <v>0.4</v>
      </c>
    </row>
    <row r="4" spans="1:17" x14ac:dyDescent="0.25">
      <c r="A4" s="63" t="s">
        <v>51</v>
      </c>
      <c r="D4" s="63" t="s">
        <v>52</v>
      </c>
      <c r="K4" s="58" t="s">
        <v>183</v>
      </c>
      <c r="L4" s="57">
        <v>0.38</v>
      </c>
    </row>
    <row r="5" spans="1:17" x14ac:dyDescent="0.25">
      <c r="D5" s="63" t="s">
        <v>54</v>
      </c>
    </row>
    <row r="6" spans="1:17" x14ac:dyDescent="0.25">
      <c r="D6" s="63" t="s">
        <v>55</v>
      </c>
    </row>
    <row r="7" spans="1:17" x14ac:dyDescent="0.25">
      <c r="A7" s="6" t="s">
        <v>88</v>
      </c>
    </row>
    <row r="8" spans="1:17" x14ac:dyDescent="0.25">
      <c r="A8" s="63" t="s">
        <v>95</v>
      </c>
      <c r="B8" s="63" t="s">
        <v>57</v>
      </c>
    </row>
    <row r="9" spans="1:17" x14ac:dyDescent="0.25">
      <c r="A9" s="63" t="s">
        <v>98</v>
      </c>
      <c r="B9" s="63" t="s">
        <v>56</v>
      </c>
    </row>
    <row r="10" spans="1:17" x14ac:dyDescent="0.25">
      <c r="B10" s="63" t="s">
        <v>58</v>
      </c>
      <c r="D10" s="27" t="s">
        <v>161</v>
      </c>
      <c r="E10" s="27"/>
      <c r="F10" s="27"/>
    </row>
    <row r="11" spans="1:17" ht="15.75" thickBot="1" x14ac:dyDescent="0.3">
      <c r="B11" s="63" t="s">
        <v>59</v>
      </c>
      <c r="D11" s="15" t="s">
        <v>133</v>
      </c>
      <c r="E11" s="15"/>
      <c r="F11" s="15"/>
    </row>
    <row r="12" spans="1:17" ht="15.75" thickBot="1" x14ac:dyDescent="0.3">
      <c r="B12" s="63" t="s">
        <v>60</v>
      </c>
      <c r="D12" s="75" t="s">
        <v>140</v>
      </c>
      <c r="E12" s="76"/>
      <c r="F12" s="12" t="s">
        <v>137</v>
      </c>
      <c r="G12" s="23" t="s">
        <v>197</v>
      </c>
      <c r="H12" s="16" t="s">
        <v>178</v>
      </c>
      <c r="I12" s="16" t="s">
        <v>179</v>
      </c>
      <c r="J12" s="16" t="s">
        <v>143</v>
      </c>
      <c r="K12" s="12" t="s">
        <v>168</v>
      </c>
      <c r="L12" s="23" t="s">
        <v>144</v>
      </c>
      <c r="M12" s="12" t="s">
        <v>167</v>
      </c>
      <c r="N12" s="16" t="s">
        <v>141</v>
      </c>
      <c r="O12" s="16" t="s">
        <v>171</v>
      </c>
      <c r="P12" s="23" t="s">
        <v>142</v>
      </c>
      <c r="Q12" s="23" t="s">
        <v>172</v>
      </c>
    </row>
    <row r="13" spans="1:17" x14ac:dyDescent="0.25">
      <c r="B13" s="63" t="s">
        <v>61</v>
      </c>
      <c r="D13" s="72" t="s">
        <v>133</v>
      </c>
      <c r="E13" s="9" t="s">
        <v>134</v>
      </c>
      <c r="F13" s="17"/>
      <c r="G13" s="48"/>
      <c r="H13" s="86">
        <v>0</v>
      </c>
      <c r="I13" s="89"/>
      <c r="J13" s="17">
        <f>'Zed Mini'!F13-'Experimental Procedure'!$C$67</f>
        <v>-6</v>
      </c>
      <c r="K13" s="95">
        <f>SQRT(J13^2+J14^2+J15^2)</f>
        <v>6.1611687202997452</v>
      </c>
      <c r="L13" s="48">
        <f>IF('Zed Mini'!G13-'Experimental Procedure'!D67&lt;-180,'Zed Mini'!G13-'Experimental Procedure'!D67 + 360,IF('Zed Mini'!G13-'Experimental Procedure'!D67&gt;180,'Zed Mini'!G13-'Experimental Procedure'!D67 - 360,'Zed Mini'!G13-'Experimental Procedure'!D67))</f>
        <v>0</v>
      </c>
      <c r="M13" s="106"/>
      <c r="N13" s="51" t="str">
        <f>IF('Experimental Procedure'!E67=0,"NaN",J13/'Experimental Procedure'!E67*100)</f>
        <v>NaN</v>
      </c>
      <c r="O13" s="92" t="str">
        <f>IF('Experimental Procedure'!G67=0,"NaN",'Zed Mini'!K13/'Experimental Procedure'!G67*100)</f>
        <v>NaN</v>
      </c>
      <c r="P13" s="51" t="str">
        <f>IF('Experimental Procedure'!F67=0,"NaN",L13/'Experimental Procedure'!F67*100)</f>
        <v>NaN</v>
      </c>
      <c r="Q13" s="109"/>
    </row>
    <row r="14" spans="1:17" x14ac:dyDescent="0.25">
      <c r="A14" s="63" t="s">
        <v>96</v>
      </c>
      <c r="B14" s="63" t="s">
        <v>100</v>
      </c>
      <c r="D14" s="73"/>
      <c r="E14" s="9" t="s">
        <v>135</v>
      </c>
      <c r="F14" s="19"/>
      <c r="G14" s="49"/>
      <c r="H14" s="87"/>
      <c r="I14" s="90"/>
      <c r="J14" s="19">
        <f>'Zed Mini'!F14-'Experimental Procedure'!C68</f>
        <v>-1.4</v>
      </c>
      <c r="K14" s="96"/>
      <c r="L14" s="49">
        <f>IF('Zed Mini'!G14-'Experimental Procedure'!D68&lt;-180,'Zed Mini'!G14-'Experimental Procedure'!D68 + 360,IF('Zed Mini'!G14-'Experimental Procedure'!D68&gt;180,'Zed Mini'!G14-'Experimental Procedure'!D68 - 360,'Zed Mini'!G14-'Experimental Procedure'!D68))</f>
        <v>0</v>
      </c>
      <c r="M14" s="107"/>
      <c r="N14" s="52" t="str">
        <f>IF('Experimental Procedure'!E68=0,"NaN",J14/'Experimental Procedure'!E68*100)</f>
        <v>NaN</v>
      </c>
      <c r="O14" s="93"/>
      <c r="P14" s="52" t="str">
        <f>IF('Experimental Procedure'!F68=0,"NaN",L14/'Experimental Procedure'!F68*100)</f>
        <v>NaN</v>
      </c>
      <c r="Q14" s="110"/>
    </row>
    <row r="15" spans="1:17" ht="15.75" thickBot="1" x14ac:dyDescent="0.3">
      <c r="A15" s="63" t="s">
        <v>97</v>
      </c>
      <c r="B15" s="63" t="s">
        <v>99</v>
      </c>
      <c r="D15" s="74"/>
      <c r="E15" s="10" t="s">
        <v>136</v>
      </c>
      <c r="F15" s="21"/>
      <c r="G15" s="50"/>
      <c r="H15" s="88"/>
      <c r="I15" s="91"/>
      <c r="J15" s="21">
        <f>'Zed Mini'!F15-'Experimental Procedure'!C69</f>
        <v>0</v>
      </c>
      <c r="K15" s="97"/>
      <c r="L15" s="50">
        <f>IF('Zed Mini'!G15-'Experimental Procedure'!D69&lt;-180,'Zed Mini'!G15-'Experimental Procedure'!D69 + 360,IF('Zed Mini'!G15-'Experimental Procedure'!D69&gt;180,'Zed Mini'!G15-'Experimental Procedure'!D69 - 360,'Zed Mini'!G15-'Experimental Procedure'!D69))</f>
        <v>0</v>
      </c>
      <c r="M15" s="108"/>
      <c r="N15" s="53" t="str">
        <f>IF('Experimental Procedure'!E69=0,"NaN",J15/'Experimental Procedure'!E69*100)</f>
        <v>NaN</v>
      </c>
      <c r="O15" s="94"/>
      <c r="P15" s="53" t="str">
        <f>IF('Experimental Procedure'!F69=0,"NaN",L15/'Experimental Procedure'!F69*100)</f>
        <v>NaN</v>
      </c>
      <c r="Q15" s="111"/>
    </row>
    <row r="16" spans="1:17" x14ac:dyDescent="0.25">
      <c r="A16" s="63" t="s">
        <v>63</v>
      </c>
      <c r="B16" s="63" t="s">
        <v>64</v>
      </c>
      <c r="D16" s="72" t="s">
        <v>148</v>
      </c>
      <c r="E16" s="8" t="s">
        <v>134</v>
      </c>
      <c r="F16" s="17"/>
      <c r="G16" s="48"/>
      <c r="H16" s="86">
        <f>SQRT((F13-F16)^2+(F14-F17)^2+(F15-F18)^2)</f>
        <v>0</v>
      </c>
      <c r="I16" s="89"/>
      <c r="J16" s="17">
        <f>'Zed Mini'!F16-'Experimental Procedure'!C70</f>
        <v>-6</v>
      </c>
      <c r="K16" s="86">
        <f t="shared" ref="K16" si="0">SQRT(J16^2+J17^2+J18^2)</f>
        <v>6.1611687202997452</v>
      </c>
      <c r="L16" s="48">
        <f>IF('Zed Mini'!G16-'Experimental Procedure'!D70&lt;-180,'Zed Mini'!G16-'Experimental Procedure'!D70 + 360,IF('Zed Mini'!G16-'Experimental Procedure'!D70&gt;180,'Zed Mini'!G16-'Experimental Procedure'!D70 - 360,'Zed Mini'!G16-'Experimental Procedure'!D70))</f>
        <v>0</v>
      </c>
      <c r="M16" s="89"/>
      <c r="N16" s="51" t="str">
        <f>IF('Experimental Procedure'!E70=0,"NaN",J16/'Experimental Procedure'!E70*100)</f>
        <v>NaN</v>
      </c>
      <c r="O16" s="98" t="str">
        <f>IF('Experimental Procedure'!G70=0,"NaN",'Zed Mini'!K16/'Experimental Procedure'!G70*100)</f>
        <v>NaN</v>
      </c>
      <c r="P16" s="51">
        <f>IF('Experimental Procedure'!F70=0,"NaN",L16/'Experimental Procedure'!F70*100)</f>
        <v>0</v>
      </c>
      <c r="Q16" s="89"/>
    </row>
    <row r="17" spans="1:17" x14ac:dyDescent="0.25">
      <c r="D17" s="73"/>
      <c r="E17" s="9" t="s">
        <v>135</v>
      </c>
      <c r="F17" s="19"/>
      <c r="G17" s="49"/>
      <c r="H17" s="87"/>
      <c r="I17" s="90"/>
      <c r="J17" s="19">
        <f>'Zed Mini'!F17-'Experimental Procedure'!C71</f>
        <v>-1.4</v>
      </c>
      <c r="K17" s="87"/>
      <c r="L17" s="49">
        <f>IF('Zed Mini'!G17-'Experimental Procedure'!D71&lt;-180,'Zed Mini'!G17-'Experimental Procedure'!D71 + 360,IF('Zed Mini'!G17-'Experimental Procedure'!D71&gt;180,'Zed Mini'!G17-'Experimental Procedure'!D71 - 360,'Zed Mini'!G17-'Experimental Procedure'!D71))</f>
        <v>0</v>
      </c>
      <c r="M17" s="90"/>
      <c r="N17" s="52" t="str">
        <f>IF('Experimental Procedure'!E71=0,"NaN",J17/'Experimental Procedure'!E71*100)</f>
        <v>NaN</v>
      </c>
      <c r="O17" s="99"/>
      <c r="P17" s="52" t="str">
        <f>IF('Experimental Procedure'!F71=0,"NaN",L17/'Experimental Procedure'!F71*100)</f>
        <v>NaN</v>
      </c>
      <c r="Q17" s="90"/>
    </row>
    <row r="18" spans="1:17" ht="15.75" thickBot="1" x14ac:dyDescent="0.3">
      <c r="A18" s="6" t="s">
        <v>93</v>
      </c>
      <c r="D18" s="74"/>
      <c r="E18" s="10" t="s">
        <v>136</v>
      </c>
      <c r="F18" s="21"/>
      <c r="G18" s="50"/>
      <c r="H18" s="88"/>
      <c r="I18" s="91"/>
      <c r="J18" s="21">
        <f>'Zed Mini'!F18-'Experimental Procedure'!C72</f>
        <v>0</v>
      </c>
      <c r="K18" s="88"/>
      <c r="L18" s="50">
        <f>IF('Zed Mini'!G18-'Experimental Procedure'!D72&lt;-180,'Zed Mini'!G18-'Experimental Procedure'!D72 + 360,IF('Zed Mini'!G18-'Experimental Procedure'!D72&gt;180,'Zed Mini'!G18-'Experimental Procedure'!D72 - 360,'Zed Mini'!G18-'Experimental Procedure'!D72))</f>
        <v>0</v>
      </c>
      <c r="M18" s="91"/>
      <c r="N18" s="53" t="str">
        <f>IF('Experimental Procedure'!E72=0,"NaN",J18/'Experimental Procedure'!E72*100)</f>
        <v>NaN</v>
      </c>
      <c r="O18" s="100"/>
      <c r="P18" s="53" t="str">
        <f>IF('Experimental Procedure'!F72=0,"NaN",L18/'Experimental Procedure'!F72*100)</f>
        <v>NaN</v>
      </c>
      <c r="Q18" s="91"/>
    </row>
    <row r="19" spans="1:17" x14ac:dyDescent="0.25">
      <c r="A19" s="63" t="s">
        <v>27</v>
      </c>
      <c r="B19" s="63" t="s">
        <v>62</v>
      </c>
      <c r="D19" s="72" t="s">
        <v>149</v>
      </c>
      <c r="E19" s="8" t="s">
        <v>134</v>
      </c>
      <c r="F19" s="17"/>
      <c r="G19" s="48"/>
      <c r="H19" s="86">
        <f>SQRT((F16-F19)^2+(F17-F20)^2+(F18-F21)^2)</f>
        <v>0</v>
      </c>
      <c r="I19" s="89"/>
      <c r="J19" s="17">
        <f>'Zed Mini'!F19-'Experimental Procedure'!C73</f>
        <v>-6</v>
      </c>
      <c r="K19" s="86">
        <f t="shared" ref="K19" si="1">SQRT(J19^2+J20^2+J21^2)</f>
        <v>6.1611687202997452</v>
      </c>
      <c r="L19" s="48">
        <f>IF('Zed Mini'!G19-'Experimental Procedure'!D73&lt;-180,'Zed Mini'!G19-'Experimental Procedure'!D73 + 360,IF('Zed Mini'!G19-'Experimental Procedure'!D73&gt;180,'Zed Mini'!G19-'Experimental Procedure'!D73 - 360,'Zed Mini'!G19-'Experimental Procedure'!D73))</f>
        <v>0</v>
      </c>
      <c r="M19" s="89"/>
      <c r="N19" s="51" t="str">
        <f>IF('Experimental Procedure'!E73=0,"NaN",J19/'Experimental Procedure'!E73*100)</f>
        <v>NaN</v>
      </c>
      <c r="O19" s="98" t="str">
        <f>IF('Experimental Procedure'!G73=0,"NaN",'Zed Mini'!K19/'Experimental Procedure'!G73*100)</f>
        <v>NaN</v>
      </c>
      <c r="P19" s="51" t="str">
        <f>IF('Experimental Procedure'!F73=0,"NaN",L19/'Experimental Procedure'!F73*100)</f>
        <v>NaN</v>
      </c>
      <c r="Q19" s="89"/>
    </row>
    <row r="20" spans="1:17" x14ac:dyDescent="0.25">
      <c r="A20" s="63" t="s">
        <v>65</v>
      </c>
      <c r="B20" s="63" t="s">
        <v>66</v>
      </c>
      <c r="D20" s="73"/>
      <c r="E20" s="9" t="s">
        <v>135</v>
      </c>
      <c r="F20" s="19"/>
      <c r="G20" s="49"/>
      <c r="H20" s="87"/>
      <c r="I20" s="90"/>
      <c r="J20" s="19">
        <f>'Zed Mini'!F20-'Experimental Procedure'!C74</f>
        <v>-1.4</v>
      </c>
      <c r="K20" s="87"/>
      <c r="L20" s="49">
        <f>IF('Zed Mini'!G20-'Experimental Procedure'!D74&lt;-180,'Zed Mini'!G20-'Experimental Procedure'!D74 + 360,IF('Zed Mini'!G20-'Experimental Procedure'!D74&gt;180,'Zed Mini'!G20-'Experimental Procedure'!D74 - 360,'Zed Mini'!G20-'Experimental Procedure'!D74))</f>
        <v>0</v>
      </c>
      <c r="M20" s="90"/>
      <c r="N20" s="52" t="str">
        <f>IF('Experimental Procedure'!E74=0,"NaN",J20/'Experimental Procedure'!E74*100)</f>
        <v>NaN</v>
      </c>
      <c r="O20" s="99"/>
      <c r="P20" s="52" t="str">
        <f>IF('Experimental Procedure'!F74=0,"NaN",L20/'Experimental Procedure'!F74*100)</f>
        <v>NaN</v>
      </c>
      <c r="Q20" s="90"/>
    </row>
    <row r="21" spans="1:17" ht="15.75" thickBot="1" x14ac:dyDescent="0.3">
      <c r="A21" s="63" t="s">
        <v>94</v>
      </c>
      <c r="B21" s="63" t="s">
        <v>104</v>
      </c>
      <c r="D21" s="74"/>
      <c r="E21" s="10" t="s">
        <v>136</v>
      </c>
      <c r="F21" s="21"/>
      <c r="G21" s="50"/>
      <c r="H21" s="88"/>
      <c r="I21" s="91"/>
      <c r="J21" s="21">
        <f>'Zed Mini'!F21-'Experimental Procedure'!C75</f>
        <v>0</v>
      </c>
      <c r="K21" s="88"/>
      <c r="L21" s="50">
        <f>IF('Zed Mini'!G21-'Experimental Procedure'!D75&lt;-180,'Zed Mini'!G21-'Experimental Procedure'!D75 + 360,IF('Zed Mini'!G21-'Experimental Procedure'!D75&gt;180,'Zed Mini'!G21-'Experimental Procedure'!D75 - 360,'Zed Mini'!G21-'Experimental Procedure'!D75))</f>
        <v>0</v>
      </c>
      <c r="M21" s="91"/>
      <c r="N21" s="53" t="str">
        <f>IF('Experimental Procedure'!E75=0,"NaN",J21/'Experimental Procedure'!E75*100)</f>
        <v>NaN</v>
      </c>
      <c r="O21" s="100"/>
      <c r="P21" s="53">
        <f>IF('Experimental Procedure'!F75=0,"NaN",L21/'Experimental Procedure'!F75*100)</f>
        <v>0</v>
      </c>
      <c r="Q21" s="91"/>
    </row>
    <row r="22" spans="1:17" x14ac:dyDescent="0.25">
      <c r="A22" s="63" t="s">
        <v>110</v>
      </c>
      <c r="B22" s="63" t="s">
        <v>111</v>
      </c>
      <c r="D22" s="72" t="s">
        <v>150</v>
      </c>
      <c r="E22" s="9" t="s">
        <v>134</v>
      </c>
      <c r="F22" s="17"/>
      <c r="G22" s="48"/>
      <c r="H22" s="86">
        <f>SQRT((F19-F22)^2+(F20-F23)^2+(F21-F24)^2)</f>
        <v>0</v>
      </c>
      <c r="I22" s="89"/>
      <c r="J22" s="17">
        <f>'Zed Mini'!F22-'Experimental Procedure'!C76</f>
        <v>-6</v>
      </c>
      <c r="K22" s="86">
        <f t="shared" ref="K22" si="2">SQRT(J22^2+J23^2+J24^2)</f>
        <v>6.1611687202997452</v>
      </c>
      <c r="L22" s="48">
        <f>IF('Zed Mini'!G22-'Experimental Procedure'!D76&lt;-180,'Zed Mini'!G22-'Experimental Procedure'!D76 + 360,IF('Zed Mini'!G22-'Experimental Procedure'!D76&gt;180,'Zed Mini'!G22-'Experimental Procedure'!D76 - 360,'Zed Mini'!G22-'Experimental Procedure'!D76))</f>
        <v>0</v>
      </c>
      <c r="M22" s="89"/>
      <c r="N22" s="51" t="str">
        <f>IF('Experimental Procedure'!E76=0,"NaN",J22/'Experimental Procedure'!E76*100)</f>
        <v>NaN</v>
      </c>
      <c r="O22" s="98" t="str">
        <f>IF('Experimental Procedure'!G76=0,"NaN",'Zed Mini'!K22/'Experimental Procedure'!G76*100)</f>
        <v>NaN</v>
      </c>
      <c r="P22" s="51" t="str">
        <f>IF('Experimental Procedure'!F76=0,"NaN",L22/'Experimental Procedure'!F76*100)</f>
        <v>NaN</v>
      </c>
      <c r="Q22" s="89"/>
    </row>
    <row r="23" spans="1:17" x14ac:dyDescent="0.25">
      <c r="B23" s="63" t="s">
        <v>112</v>
      </c>
      <c r="D23" s="73"/>
      <c r="E23" s="9" t="s">
        <v>135</v>
      </c>
      <c r="F23" s="19"/>
      <c r="G23" s="49"/>
      <c r="H23" s="87"/>
      <c r="I23" s="90"/>
      <c r="J23" s="19">
        <f>'Zed Mini'!F23-'Experimental Procedure'!C77</f>
        <v>-1.4</v>
      </c>
      <c r="K23" s="87"/>
      <c r="L23" s="49">
        <f>IF('Zed Mini'!G23-'Experimental Procedure'!D77&lt;-180,'Zed Mini'!G23-'Experimental Procedure'!D77 + 360,IF('Zed Mini'!G23-'Experimental Procedure'!D77&gt;180,'Zed Mini'!G23-'Experimental Procedure'!D77 - 360,'Zed Mini'!G23-'Experimental Procedure'!D77))</f>
        <v>0</v>
      </c>
      <c r="M23" s="90"/>
      <c r="N23" s="52" t="str">
        <f>IF('Experimental Procedure'!E77=0,"NaN",J23/'Experimental Procedure'!E77*100)</f>
        <v>NaN</v>
      </c>
      <c r="O23" s="99"/>
      <c r="P23" s="52">
        <f>IF('Experimental Procedure'!F77=0,"NaN",L23/'Experimental Procedure'!F77*100)</f>
        <v>0</v>
      </c>
      <c r="Q23" s="90"/>
    </row>
    <row r="24" spans="1:17" ht="15.75" thickBot="1" x14ac:dyDescent="0.3">
      <c r="D24" s="74"/>
      <c r="E24" s="10" t="s">
        <v>136</v>
      </c>
      <c r="F24" s="21"/>
      <c r="G24" s="50"/>
      <c r="H24" s="88"/>
      <c r="I24" s="91"/>
      <c r="J24" s="21">
        <f>'Zed Mini'!F24-'Experimental Procedure'!C78</f>
        <v>0</v>
      </c>
      <c r="K24" s="88"/>
      <c r="L24" s="50">
        <f>IF('Zed Mini'!G24-'Experimental Procedure'!D78&lt;-180,'Zed Mini'!G24-'Experimental Procedure'!D78 + 360,IF('Zed Mini'!G24-'Experimental Procedure'!D78&gt;180,'Zed Mini'!G24-'Experimental Procedure'!D78 - 360,'Zed Mini'!G24-'Experimental Procedure'!D78))</f>
        <v>0</v>
      </c>
      <c r="M24" s="91"/>
      <c r="N24" s="53" t="str">
        <f>IF('Experimental Procedure'!E78=0,"NaN",J24/'Experimental Procedure'!E78*100)</f>
        <v>NaN</v>
      </c>
      <c r="O24" s="100"/>
      <c r="P24" s="53" t="str">
        <f>IF('Experimental Procedure'!F78=0,"NaN",L24/'Experimental Procedure'!F78*100)</f>
        <v>NaN</v>
      </c>
      <c r="Q24" s="91"/>
    </row>
    <row r="25" spans="1:17" x14ac:dyDescent="0.25">
      <c r="D25" s="72" t="s">
        <v>151</v>
      </c>
      <c r="E25" s="8" t="s">
        <v>134</v>
      </c>
      <c r="F25" s="17"/>
      <c r="G25" s="48"/>
      <c r="H25" s="86">
        <f>SQRT((F22-F25)^2+(F23-F26)^2+(F24-F27)^2)</f>
        <v>0</v>
      </c>
      <c r="I25" s="89"/>
      <c r="J25" s="17">
        <f>'Zed Mini'!F25-'Experimental Procedure'!C79</f>
        <v>-6</v>
      </c>
      <c r="K25" s="86">
        <f t="shared" ref="K25" si="3">SQRT(J25^2+J26^2+J27^2)</f>
        <v>6.1611687202997452</v>
      </c>
      <c r="L25" s="48">
        <f>IF('Zed Mini'!G25-'Experimental Procedure'!D79&lt;-180,'Zed Mini'!G25-'Experimental Procedure'!D79 + 360,IF('Zed Mini'!G25-'Experimental Procedure'!D79&gt;180,'Zed Mini'!G25-'Experimental Procedure'!D79 - 360,'Zed Mini'!G25-'Experimental Procedure'!D79))</f>
        <v>0</v>
      </c>
      <c r="M25" s="89"/>
      <c r="N25" s="51" t="str">
        <f>IF('Experimental Procedure'!E79=0,"NaN",J25/'Experimental Procedure'!E79*100)</f>
        <v>NaN</v>
      </c>
      <c r="O25" s="98" t="str">
        <f>IF('Experimental Procedure'!G79=0,"NaN",'Zed Mini'!K25/'Experimental Procedure'!G79*100)</f>
        <v>NaN</v>
      </c>
      <c r="P25" s="51" t="str">
        <f>IF('Experimental Procedure'!F79=0,"NaN",L25/'Experimental Procedure'!F79*100)</f>
        <v>NaN</v>
      </c>
      <c r="Q25" s="89"/>
    </row>
    <row r="26" spans="1:17" x14ac:dyDescent="0.25">
      <c r="A26" s="6" t="s">
        <v>91</v>
      </c>
      <c r="D26" s="73"/>
      <c r="E26" s="9" t="s">
        <v>135</v>
      </c>
      <c r="F26" s="19"/>
      <c r="G26" s="49"/>
      <c r="H26" s="87"/>
      <c r="I26" s="90"/>
      <c r="J26" s="19">
        <f>'Zed Mini'!F26-'Experimental Procedure'!C80</f>
        <v>-1.4</v>
      </c>
      <c r="K26" s="87"/>
      <c r="L26" s="49">
        <f>IF('Zed Mini'!G26-'Experimental Procedure'!D80&lt;-180,'Zed Mini'!G26-'Experimental Procedure'!D80 + 360,IF('Zed Mini'!G26-'Experimental Procedure'!D80&gt;180,'Zed Mini'!G26-'Experimental Procedure'!D80 - 360,'Zed Mini'!G26-'Experimental Procedure'!D80))</f>
        <v>0</v>
      </c>
      <c r="M26" s="90"/>
      <c r="N26" s="52" t="str">
        <f>IF('Experimental Procedure'!E80=0,"NaN",J26/'Experimental Procedure'!E80*100)</f>
        <v>NaN</v>
      </c>
      <c r="O26" s="99"/>
      <c r="P26" s="52">
        <f>IF('Experimental Procedure'!F80=0,"NaN",L26/'Experimental Procedure'!F80*100)</f>
        <v>0</v>
      </c>
      <c r="Q26" s="90"/>
    </row>
    <row r="27" spans="1:17" ht="15.75" thickBot="1" x14ac:dyDescent="0.3">
      <c r="A27" s="63" t="s">
        <v>67</v>
      </c>
      <c r="B27" s="63" t="s">
        <v>68</v>
      </c>
      <c r="D27" s="74"/>
      <c r="E27" s="10" t="s">
        <v>136</v>
      </c>
      <c r="F27" s="21"/>
      <c r="G27" s="50"/>
      <c r="H27" s="88"/>
      <c r="I27" s="91"/>
      <c r="J27" s="21">
        <f>'Zed Mini'!F27-'Experimental Procedure'!C81</f>
        <v>0</v>
      </c>
      <c r="K27" s="88"/>
      <c r="L27" s="50">
        <f>IF('Zed Mini'!G27-'Experimental Procedure'!D81&lt;-180,'Zed Mini'!G27-'Experimental Procedure'!D81 + 360,IF('Zed Mini'!G27-'Experimental Procedure'!D81&gt;180,'Zed Mini'!G27-'Experimental Procedure'!D81 - 360,'Zed Mini'!G27-'Experimental Procedure'!D81))</f>
        <v>0</v>
      </c>
      <c r="M27" s="91"/>
      <c r="N27" s="53" t="str">
        <f>IF('Experimental Procedure'!E81=0,"NaN",J27/'Experimental Procedure'!E81*100)</f>
        <v>NaN</v>
      </c>
      <c r="O27" s="100"/>
      <c r="P27" s="53" t="str">
        <f>IF('Experimental Procedure'!F81=0,"NaN",L27/'Experimental Procedure'!F81*100)</f>
        <v>NaN</v>
      </c>
      <c r="Q27" s="91"/>
    </row>
    <row r="28" spans="1:17" x14ac:dyDescent="0.25">
      <c r="A28" s="63" t="s">
        <v>69</v>
      </c>
      <c r="B28" s="63" t="s">
        <v>68</v>
      </c>
      <c r="D28" s="72" t="s">
        <v>152</v>
      </c>
      <c r="E28" s="8" t="s">
        <v>134</v>
      </c>
      <c r="F28" s="17"/>
      <c r="G28" s="48"/>
      <c r="H28" s="86">
        <f>SQRT((F25-F28)^2+(F26-F29)^2+(F27-F30)^2)</f>
        <v>0</v>
      </c>
      <c r="I28" s="89"/>
      <c r="J28" s="17">
        <f>'Zed Mini'!F28-'Experimental Procedure'!C82</f>
        <v>-6</v>
      </c>
      <c r="K28" s="86">
        <f t="shared" ref="K28" si="4">SQRT(J28^2+J29^2+J30^2)</f>
        <v>6.1611687202997452</v>
      </c>
      <c r="L28" s="48">
        <f>IF('Zed Mini'!G28-'Experimental Procedure'!D82&lt;-180,'Zed Mini'!G28-'Experimental Procedure'!D82 + 360,IF('Zed Mini'!G28-'Experimental Procedure'!D82&gt;180,'Zed Mini'!G28-'Experimental Procedure'!D82 - 360,'Zed Mini'!G28-'Experimental Procedure'!D82))</f>
        <v>0</v>
      </c>
      <c r="M28" s="89"/>
      <c r="N28" s="51" t="str">
        <f>IF('Experimental Procedure'!E82=0,"NaN",J28/'Experimental Procedure'!E82*100)</f>
        <v>NaN</v>
      </c>
      <c r="O28" s="98" t="str">
        <f>IF('Experimental Procedure'!G82=0,"NaN",'Zed Mini'!K28/'Experimental Procedure'!G82*100)</f>
        <v>NaN</v>
      </c>
      <c r="P28" s="51" t="str">
        <f>IF('Experimental Procedure'!F82=0,"NaN",L28/'Experimental Procedure'!F82*100)</f>
        <v>NaN</v>
      </c>
      <c r="Q28" s="89"/>
    </row>
    <row r="29" spans="1:17" x14ac:dyDescent="0.25">
      <c r="A29" s="63" t="s">
        <v>70</v>
      </c>
      <c r="B29" s="63" t="s">
        <v>66</v>
      </c>
      <c r="D29" s="73"/>
      <c r="E29" s="9" t="s">
        <v>135</v>
      </c>
      <c r="F29" s="19"/>
      <c r="G29" s="49"/>
      <c r="H29" s="87"/>
      <c r="I29" s="90"/>
      <c r="J29" s="19">
        <f>'Zed Mini'!F29-'Experimental Procedure'!C83</f>
        <v>-1.4</v>
      </c>
      <c r="K29" s="87"/>
      <c r="L29" s="49">
        <f>IF('Zed Mini'!G29-'Experimental Procedure'!D83&lt;-180,'Zed Mini'!G29-'Experimental Procedure'!D83 + 360,IF('Zed Mini'!G29-'Experimental Procedure'!D83&gt;180,'Zed Mini'!G29-'Experimental Procedure'!D83 - 360,'Zed Mini'!G29-'Experimental Procedure'!D83))</f>
        <v>0</v>
      </c>
      <c r="M29" s="90"/>
      <c r="N29" s="52" t="str">
        <f>IF('Experimental Procedure'!E83=0,"NaN",J29/'Experimental Procedure'!E83*100)</f>
        <v>NaN</v>
      </c>
      <c r="O29" s="99"/>
      <c r="P29" s="52" t="str">
        <f>IF('Experimental Procedure'!F83=0,"NaN",L29/'Experimental Procedure'!F83*100)</f>
        <v>NaN</v>
      </c>
      <c r="Q29" s="90"/>
    </row>
    <row r="30" spans="1:17" ht="15.75" thickBot="1" x14ac:dyDescent="0.3">
      <c r="A30" s="63" t="s">
        <v>71</v>
      </c>
      <c r="D30" s="74"/>
      <c r="E30" s="10" t="s">
        <v>136</v>
      </c>
      <c r="F30" s="21"/>
      <c r="G30" s="50"/>
      <c r="H30" s="88"/>
      <c r="I30" s="91"/>
      <c r="J30" s="21">
        <f>'Zed Mini'!F30-'Experimental Procedure'!C84</f>
        <v>0</v>
      </c>
      <c r="K30" s="88"/>
      <c r="L30" s="50">
        <f>IF('Zed Mini'!G30-'Experimental Procedure'!D84&lt;-180,'Zed Mini'!G30-'Experimental Procedure'!D84 + 360,IF('Zed Mini'!G30-'Experimental Procedure'!D84&gt;180,'Zed Mini'!G30-'Experimental Procedure'!D84 - 360,'Zed Mini'!G30-'Experimental Procedure'!D84))</f>
        <v>0</v>
      </c>
      <c r="M30" s="91"/>
      <c r="N30" s="53" t="str">
        <f>IF('Experimental Procedure'!E84=0,"NaN",J30/'Experimental Procedure'!E84*100)</f>
        <v>NaN</v>
      </c>
      <c r="O30" s="100"/>
      <c r="P30" s="53">
        <f>IF('Experimental Procedure'!F84=0,"NaN",L30/'Experimental Procedure'!F84*100)</f>
        <v>0</v>
      </c>
      <c r="Q30" s="91"/>
    </row>
    <row r="31" spans="1:17" x14ac:dyDescent="0.25">
      <c r="A31" s="63" t="s">
        <v>72</v>
      </c>
      <c r="D31" s="72" t="s">
        <v>153</v>
      </c>
      <c r="E31" s="9" t="s">
        <v>134</v>
      </c>
      <c r="F31" s="17"/>
      <c r="G31" s="48"/>
      <c r="H31" s="86">
        <f>SQRT((F28-F31)^2+(F29-F32)^2+(F30-F33)^2)</f>
        <v>0</v>
      </c>
      <c r="I31" s="89"/>
      <c r="J31" s="17">
        <f>'Zed Mini'!F31-'Experimental Procedure'!C85</f>
        <v>-6</v>
      </c>
      <c r="K31" s="86">
        <f t="shared" ref="K31" si="5">SQRT(J31^2+J32^2+J33^2)</f>
        <v>6.1611687202997452</v>
      </c>
      <c r="L31" s="48">
        <f>IF('Zed Mini'!G31-'Experimental Procedure'!D85&lt;-180,'Zed Mini'!G31-'Experimental Procedure'!D85 + 360,IF('Zed Mini'!G31-'Experimental Procedure'!D85&gt;180,'Zed Mini'!G31-'Experimental Procedure'!D85 - 360,'Zed Mini'!G31-'Experimental Procedure'!D85))</f>
        <v>0</v>
      </c>
      <c r="M31" s="89"/>
      <c r="N31" s="51" t="str">
        <f>IF('Experimental Procedure'!E85=0,"NaN",J31/'Experimental Procedure'!E85*100)</f>
        <v>NaN</v>
      </c>
      <c r="O31" s="98" t="str">
        <f>IF('Experimental Procedure'!G85=0,"NaN",'Zed Mini'!K31/'Experimental Procedure'!G85*100)</f>
        <v>NaN</v>
      </c>
      <c r="P31" s="51">
        <f>IF('Experimental Procedure'!F85=0,"NaN",L31/'Experimental Procedure'!F85*100)</f>
        <v>0</v>
      </c>
      <c r="Q31" s="89"/>
    </row>
    <row r="32" spans="1:17" x14ac:dyDescent="0.25">
      <c r="A32" s="2" t="s">
        <v>73</v>
      </c>
      <c r="B32" s="2" t="s">
        <v>107</v>
      </c>
      <c r="D32" s="73"/>
      <c r="E32" s="9" t="s">
        <v>135</v>
      </c>
      <c r="F32" s="19"/>
      <c r="G32" s="49"/>
      <c r="H32" s="87"/>
      <c r="I32" s="90"/>
      <c r="J32" s="19">
        <f>'Zed Mini'!F32-'Experimental Procedure'!C86</f>
        <v>-1.4</v>
      </c>
      <c r="K32" s="87"/>
      <c r="L32" s="49">
        <f>IF('Zed Mini'!G32-'Experimental Procedure'!D86&lt;-180,'Zed Mini'!G32-'Experimental Procedure'!D86 + 360,IF('Zed Mini'!G32-'Experimental Procedure'!D86&gt;180,'Zed Mini'!G32-'Experimental Procedure'!D86 - 360,'Zed Mini'!G32-'Experimental Procedure'!D86))</f>
        <v>0</v>
      </c>
      <c r="M32" s="90"/>
      <c r="N32" s="52" t="str">
        <f>IF('Experimental Procedure'!E86=0,"NaN",J32/'Experimental Procedure'!E86*100)</f>
        <v>NaN</v>
      </c>
      <c r="O32" s="99"/>
      <c r="P32" s="52" t="str">
        <f>IF('Experimental Procedure'!F86=0,"NaN",L32/'Experimental Procedure'!F86*100)</f>
        <v>NaN</v>
      </c>
      <c r="Q32" s="90"/>
    </row>
    <row r="33" spans="1:17" ht="15.75" thickBot="1" x14ac:dyDescent="0.3">
      <c r="A33" s="2" t="s">
        <v>74</v>
      </c>
      <c r="B33" s="2" t="s">
        <v>108</v>
      </c>
      <c r="D33" s="74"/>
      <c r="E33" s="10" t="s">
        <v>136</v>
      </c>
      <c r="F33" s="21"/>
      <c r="G33" s="50"/>
      <c r="H33" s="88"/>
      <c r="I33" s="91"/>
      <c r="J33" s="21">
        <f>'Zed Mini'!F33-'Experimental Procedure'!C87</f>
        <v>0</v>
      </c>
      <c r="K33" s="88"/>
      <c r="L33" s="50">
        <f>IF('Zed Mini'!G33-'Experimental Procedure'!D87&lt;-180,'Zed Mini'!G33-'Experimental Procedure'!D87 + 360,IF('Zed Mini'!G33-'Experimental Procedure'!D87&gt;180,'Zed Mini'!G33-'Experimental Procedure'!D87 - 360,'Zed Mini'!G33-'Experimental Procedure'!D87))</f>
        <v>0</v>
      </c>
      <c r="M33" s="91"/>
      <c r="N33" s="53" t="str">
        <f>IF('Experimental Procedure'!E87=0,"NaN",J33/'Experimental Procedure'!E87*100)</f>
        <v>NaN</v>
      </c>
      <c r="O33" s="100"/>
      <c r="P33" s="53" t="str">
        <f>IF('Experimental Procedure'!F87=0,"NaN",L33/'Experimental Procedure'!F87*100)</f>
        <v>NaN</v>
      </c>
      <c r="Q33" s="91"/>
    </row>
    <row r="34" spans="1:17" x14ac:dyDescent="0.25">
      <c r="B34" s="63" t="s">
        <v>75</v>
      </c>
      <c r="K34" s="33"/>
    </row>
    <row r="35" spans="1:17" x14ac:dyDescent="0.25">
      <c r="D35" s="28" t="s">
        <v>162</v>
      </c>
      <c r="E35" s="28"/>
      <c r="F35" s="28"/>
      <c r="K35" s="33"/>
    </row>
    <row r="36" spans="1:17" ht="15.75" thickBot="1" x14ac:dyDescent="0.3">
      <c r="A36" s="6" t="s">
        <v>102</v>
      </c>
      <c r="D36" s="29" t="s">
        <v>133</v>
      </c>
      <c r="E36" s="29"/>
      <c r="F36" s="29"/>
      <c r="K36" s="33"/>
    </row>
    <row r="37" spans="1:17" ht="15.75" thickBot="1" x14ac:dyDescent="0.3">
      <c r="A37" s="63" t="s">
        <v>113</v>
      </c>
      <c r="D37" s="75" t="s">
        <v>163</v>
      </c>
      <c r="E37" s="76"/>
      <c r="F37" s="12" t="s">
        <v>137</v>
      </c>
      <c r="G37" s="23" t="s">
        <v>197</v>
      </c>
      <c r="H37" s="16" t="s">
        <v>178</v>
      </c>
      <c r="I37" s="16" t="s">
        <v>179</v>
      </c>
      <c r="J37" s="16" t="s">
        <v>143</v>
      </c>
      <c r="K37" s="34" t="s">
        <v>168</v>
      </c>
      <c r="L37" s="23" t="s">
        <v>144</v>
      </c>
      <c r="M37" s="12" t="s">
        <v>167</v>
      </c>
      <c r="N37" s="16" t="s">
        <v>141</v>
      </c>
      <c r="O37" s="16" t="s">
        <v>171</v>
      </c>
      <c r="P37" s="23" t="s">
        <v>142</v>
      </c>
      <c r="Q37" s="23" t="s">
        <v>172</v>
      </c>
    </row>
    <row r="38" spans="1:17" x14ac:dyDescent="0.25">
      <c r="A38" s="63" t="s">
        <v>114</v>
      </c>
      <c r="D38" s="72" t="s">
        <v>180</v>
      </c>
      <c r="E38" s="9" t="s">
        <v>134</v>
      </c>
      <c r="F38" s="17">
        <v>5.9980359999999999</v>
      </c>
      <c r="G38" s="45">
        <v>5.9093530000000003</v>
      </c>
      <c r="H38" s="86">
        <v>0</v>
      </c>
      <c r="I38" s="89">
        <v>0</v>
      </c>
      <c r="J38" s="17">
        <f>'Zed Mini'!F38-'Experimental Procedure'!$C$90</f>
        <v>-1.9640000000000768E-3</v>
      </c>
      <c r="K38" s="95">
        <f>SQRT(J38^2+J39^2+J40^2)</f>
        <v>4.3620999061571974E-3</v>
      </c>
      <c r="L38" s="48">
        <f>IF('Zed Mini'!G38-'Experimental Procedure'!$D$90&lt;-180,'Zed Mini'!G38-'Experimental Procedure'!$D$90 + 360,IF('Zed Mini'!G38-'Experimental Procedure'!$D$90&gt;180,'Zed Mini'!G38-'Experimental Procedure'!$D$90 - 360,'Zed Mini'!G38-'Experimental Procedure'!$D$90))</f>
        <v>5.9093530000000003</v>
      </c>
      <c r="M38" s="106">
        <v>6.377536071635773</v>
      </c>
      <c r="N38" s="51" t="str">
        <f>IF('Experimental Procedure'!$E$90=0,"NaN",J38/'Experimental Procedure'!$E$90*100)</f>
        <v>NaN</v>
      </c>
      <c r="O38" s="92" t="str">
        <f>IF('Experimental Procedure'!$G$90=0,"NaN",'Zed Mini'!K38/'Experimental Procedure'!$G$90*100)</f>
        <v>NaN</v>
      </c>
      <c r="P38" s="51" t="str">
        <f>IF('Experimental Procedure'!$F$90=0,"NaN",L38/'Experimental Procedure'!$F$90*100)</f>
        <v>NaN</v>
      </c>
      <c r="Q38" s="109" t="str">
        <f>IF('Experimental Procedure'!$H$90=0,"NaN",'Zed Mini'!M38/'Experimental Procedure'!$H$90*100)</f>
        <v>NaN</v>
      </c>
    </row>
    <row r="39" spans="1:17" x14ac:dyDescent="0.25">
      <c r="A39" s="7" t="s">
        <v>53</v>
      </c>
      <c r="D39" s="73"/>
      <c r="E39" s="9" t="s">
        <v>135</v>
      </c>
      <c r="F39" s="19">
        <v>1.4009290000000001</v>
      </c>
      <c r="G39" s="46">
        <v>0.5994351</v>
      </c>
      <c r="H39" s="87"/>
      <c r="I39" s="90"/>
      <c r="J39" s="19">
        <f>'Zed Mini'!F39-'Experimental Procedure'!$C$91</f>
        <v>9.2900000000017968E-4</v>
      </c>
      <c r="K39" s="96"/>
      <c r="L39" s="49">
        <f>IF('Zed Mini'!G39-'Experimental Procedure'!$D$91&lt;-180,'Zed Mini'!G39-'Experimental Procedure'!$D$91 + 360,IF('Zed Mini'!G39-'Experimental Procedure'!$D$91&gt;180,'Zed Mini'!G39-'Experimental Procedure'!$D$91 - 360,'Zed Mini'!G39-'Experimental Procedure'!$D$91))</f>
        <v>0.5994351</v>
      </c>
      <c r="M39" s="107"/>
      <c r="N39" s="52" t="str">
        <f>IF('Experimental Procedure'!$E$91=0,"NaN",J39/'Experimental Procedure'!$E$91*100)</f>
        <v>NaN</v>
      </c>
      <c r="O39" s="93"/>
      <c r="P39" s="52" t="str">
        <f>IF('Experimental Procedure'!$F$91=0,"NaN",L39/'Experimental Procedure'!$F$91*100)</f>
        <v>NaN</v>
      </c>
      <c r="Q39" s="110"/>
    </row>
    <row r="40" spans="1:17" ht="15.75" thickBot="1" x14ac:dyDescent="0.3">
      <c r="A40" s="63" t="s">
        <v>116</v>
      </c>
      <c r="D40" s="74"/>
      <c r="E40" s="10" t="s">
        <v>136</v>
      </c>
      <c r="F40" s="21">
        <v>-3.782536E-3</v>
      </c>
      <c r="G40" s="47">
        <v>357.70729999999998</v>
      </c>
      <c r="H40" s="88"/>
      <c r="I40" s="91"/>
      <c r="J40" s="21">
        <f>'Zed Mini'!F40-'Experimental Procedure'!$C$92</f>
        <v>-3.782536E-3</v>
      </c>
      <c r="K40" s="97"/>
      <c r="L40" s="50">
        <f>IF('Zed Mini'!G40-'Experimental Procedure'!$D$92&lt;-180,'Zed Mini'!G40-'Experimental Procedure'!$D$92 + 360,IF('Zed Mini'!G40-'Experimental Procedure'!$D$92&gt;180,'Zed Mini'!G40-'Experimental Procedure'!$D$92 - 360,'Zed Mini'!G40-'Experimental Procedure'!$D$92))</f>
        <v>-2.2927000000000248</v>
      </c>
      <c r="M40" s="108"/>
      <c r="N40" s="53" t="str">
        <f>IF('Experimental Procedure'!$E$92=0,"NaN",J40/'Experimental Procedure'!$E$92*100)</f>
        <v>NaN</v>
      </c>
      <c r="O40" s="94"/>
      <c r="P40" s="53" t="str">
        <f>IF('Experimental Procedure'!$F$92=0,"NaN",L40/'Experimental Procedure'!$F$92*100)</f>
        <v>NaN</v>
      </c>
      <c r="Q40" s="111"/>
    </row>
    <row r="41" spans="1:17" x14ac:dyDescent="0.25">
      <c r="D41" s="72" t="s">
        <v>189</v>
      </c>
      <c r="E41" s="8" t="s">
        <v>134</v>
      </c>
      <c r="F41" s="17">
        <v>5.6505989999999997</v>
      </c>
      <c r="G41" s="48">
        <v>1.9243079999999999</v>
      </c>
      <c r="H41" s="86">
        <f>SQRT((F38-F41)^2+(F39-F42)^2+(F40-F43)^2)</f>
        <v>3.9280203165193188</v>
      </c>
      <c r="I41" s="89">
        <v>9.990525750160721</v>
      </c>
      <c r="J41" s="17">
        <f>'Zed Mini'!F41-'Experimental Procedure'!$C$93</f>
        <v>-0.34940100000000029</v>
      </c>
      <c r="K41" s="86">
        <f t="shared" ref="K41" si="6">SQRT(J41^2+J42^2+J43^2)</f>
        <v>0.38245076577907416</v>
      </c>
      <c r="L41" s="48">
        <f>IF('Zed Mini'!G41-'Experimental Procedure'!$D$93&lt;-180,'Zed Mini'!G41-'Experimental Procedure'!$D$93 + 360,IF('Zed Mini'!G41-'Experimental Procedure'!$D$93&gt;180,'Zed Mini'!G41-'Experimental Procedure'!$D$93 - 360,'Zed Mini'!G41-'Experimental Procedure'!$D$93))</f>
        <v>1.9243079999999999</v>
      </c>
      <c r="M41" s="89">
        <v>7.3656459696350502</v>
      </c>
      <c r="N41" s="51" t="str">
        <f>IF('Experimental Procedure'!$E$93=0,"NaN",J41/'Experimental Procedure'!$E$93*100)</f>
        <v>NaN</v>
      </c>
      <c r="O41" s="92">
        <f>IF('Experimental Procedure'!$G$93=0,"NaN",'Zed Mini'!K41/'Experimental Procedure'!$G$93*100)</f>
        <v>9.5612691444768547</v>
      </c>
      <c r="P41" s="51" t="str">
        <f>IF('Experimental Procedure'!$F$93=0,"NaN",L41/'Experimental Procedure'!$F$93*100)</f>
        <v>NaN</v>
      </c>
      <c r="Q41" s="109" t="str">
        <f>IF('Experimental Procedure'!$H$93=0,"NaN",'Zed Mini'!M41/'Experimental Procedure'!$H$93*100)</f>
        <v>NaN</v>
      </c>
    </row>
    <row r="42" spans="1:17" x14ac:dyDescent="0.25">
      <c r="D42" s="73"/>
      <c r="E42" s="9" t="s">
        <v>135</v>
      </c>
      <c r="F42" s="19">
        <v>1.52457</v>
      </c>
      <c r="G42" s="49">
        <v>353.84269999999998</v>
      </c>
      <c r="H42" s="87"/>
      <c r="I42" s="90"/>
      <c r="J42" s="19">
        <f>'Zed Mini'!F42-'Experimental Procedure'!$C$94</f>
        <v>0.12457000000000007</v>
      </c>
      <c r="K42" s="87"/>
      <c r="L42" s="49">
        <f>IF('Zed Mini'!G42-'Experimental Procedure'!$D$94&lt;-180,'Zed Mini'!G42-'Experimental Procedure'!$D$94 + 360,IF('Zed Mini'!G42-'Experimental Procedure'!$D$94&gt;180,'Zed Mini'!G42-'Experimental Procedure'!$D$94 - 360,'Zed Mini'!G42-'Experimental Procedure'!$D$94))</f>
        <v>-6.1573000000000206</v>
      </c>
      <c r="M42" s="90"/>
      <c r="N42" s="52" t="str">
        <f>IF('Experimental Procedure'!$E$94=0,"NaN",J42/'Experimental Procedure'!$E$94*100)</f>
        <v>NaN</v>
      </c>
      <c r="O42" s="93"/>
      <c r="P42" s="52" t="str">
        <f>IF('Experimental Procedure'!$F$94=0,"NaN",L42/'Experimental Procedure'!$F$94*100)</f>
        <v>NaN</v>
      </c>
      <c r="Q42" s="110"/>
    </row>
    <row r="43" spans="1:17" ht="15.75" thickBot="1" x14ac:dyDescent="0.3">
      <c r="D43" s="74"/>
      <c r="E43" s="10" t="s">
        <v>136</v>
      </c>
      <c r="F43" s="21">
        <v>3.9068879999999999</v>
      </c>
      <c r="G43" s="50">
        <v>3.4552960000000001</v>
      </c>
      <c r="H43" s="88"/>
      <c r="I43" s="91"/>
      <c r="J43" s="21">
        <f>'Zed Mini'!F43-'Experimental Procedure'!$C$95</f>
        <v>-9.3112000000000084E-2</v>
      </c>
      <c r="K43" s="88"/>
      <c r="L43" s="50">
        <f>IF('Zed Mini'!G43-'Experimental Procedure'!$D$95&lt;-180,'Zed Mini'!G43-'Experimental Procedure'!$D$95 + 360,IF('Zed Mini'!G43-'Experimental Procedure'!$D$95&gt;180,'Zed Mini'!G43-'Experimental Procedure'!$D$95 - 360,'Zed Mini'!G43-'Experimental Procedure'!$D$95))</f>
        <v>3.4552960000000001</v>
      </c>
      <c r="M43" s="91"/>
      <c r="N43" s="53">
        <f>IF('Experimental Procedure'!$E$95=0,"NaN",J43/'Experimental Procedure'!$E$95*100)</f>
        <v>-2.3278000000000021</v>
      </c>
      <c r="O43" s="94"/>
      <c r="P43" s="53" t="str">
        <f>IF('Experimental Procedure'!$F$95=0,"NaN",L43/'Experimental Procedure'!$F$95*100)</f>
        <v>NaN</v>
      </c>
      <c r="Q43" s="111"/>
    </row>
    <row r="44" spans="1:17" x14ac:dyDescent="0.25">
      <c r="D44" s="72" t="s">
        <v>188</v>
      </c>
      <c r="E44" s="8" t="s">
        <v>134</v>
      </c>
      <c r="F44" s="17">
        <v>0.38794139999999999</v>
      </c>
      <c r="G44" s="48">
        <v>2.7232479999999999</v>
      </c>
      <c r="H44" s="86">
        <f>SQRT((F41-F44)^2+(F42-F45)^2+(F43-F46)^2)</f>
        <v>5.3044874401301731</v>
      </c>
      <c r="I44" s="89">
        <v>5.1469864157985707</v>
      </c>
      <c r="J44" s="17">
        <f>'Zed Mini'!F44-'Experimental Procedure'!$C$96</f>
        <v>0.38794139999999999</v>
      </c>
      <c r="K44" s="86">
        <f t="shared" ref="K44" si="7">SQRT(J44^2+J45^2+J46^2)</f>
        <v>0.88552257719324123</v>
      </c>
      <c r="L44" s="48">
        <f>IF('Zed Mini'!G44-'Experimental Procedure'!$D$96&lt;-180,'Zed Mini'!G44-'Experimental Procedure'!$D$96 + 360,IF('Zed Mini'!G44-'Experimental Procedure'!$D$96&gt;180,'Zed Mini'!G44-'Experimental Procedure'!$D$96 - 360,'Zed Mini'!G44-'Experimental Procedure'!$D$96))</f>
        <v>2.7232479999999999</v>
      </c>
      <c r="M44" s="89">
        <v>11.964523478391165</v>
      </c>
      <c r="N44" s="51">
        <f>IF('Experimental Procedure'!$E$96=0,"NaN",J44/'Experimental Procedure'!$E$96*100)</f>
        <v>6.4656900000000004</v>
      </c>
      <c r="O44" s="92">
        <f>IF('Experimental Procedure'!$G$96=0,"NaN",'Zed Mini'!K44/'Experimental Procedure'!$G$96*100)</f>
        <v>14.758709619887354</v>
      </c>
      <c r="P44" s="51" t="str">
        <f>IF('Experimental Procedure'!$F$96=0,"NaN",L44/'Experimental Procedure'!$F$96*100)</f>
        <v>NaN</v>
      </c>
      <c r="Q44" s="109" t="str">
        <f>IF('Experimental Procedure'!$H$96=0,"NaN",'Zed Mini'!M44/'Experimental Procedure'!$H$96*100)</f>
        <v>NaN</v>
      </c>
    </row>
    <row r="45" spans="1:17" x14ac:dyDescent="0.25">
      <c r="D45" s="73"/>
      <c r="E45" s="9" t="s">
        <v>135</v>
      </c>
      <c r="F45" s="19">
        <v>1.722151</v>
      </c>
      <c r="G45" s="49">
        <v>348.76940000000002</v>
      </c>
      <c r="H45" s="87"/>
      <c r="I45" s="90"/>
      <c r="J45" s="19">
        <f>'Zed Mini'!F45-'Experimental Procedure'!$C$97</f>
        <v>0.32215100000000008</v>
      </c>
      <c r="K45" s="87"/>
      <c r="L45" s="49">
        <f>IF('Zed Mini'!G45-'Experimental Procedure'!$D$97&lt;-180,'Zed Mini'!G45-'Experimental Procedure'!$D$97 + 360,IF('Zed Mini'!G45-'Experimental Procedure'!$D$97&gt;180,'Zed Mini'!G45-'Experimental Procedure'!$D$97 - 360,'Zed Mini'!G45-'Experimental Procedure'!$D$97))</f>
        <v>-11.230599999999981</v>
      </c>
      <c r="M45" s="90"/>
      <c r="N45" s="52" t="str">
        <f>IF('Experimental Procedure'!$E$97=0,"NaN",J45/'Experimental Procedure'!$E$97*100)</f>
        <v>NaN</v>
      </c>
      <c r="O45" s="93"/>
      <c r="P45" s="52" t="str">
        <f>IF('Experimental Procedure'!$F$97=0,"NaN",L45/'Experimental Procedure'!$F$97*100)</f>
        <v>NaN</v>
      </c>
      <c r="Q45" s="110"/>
    </row>
    <row r="46" spans="1:17" ht="15.75" thickBot="1" x14ac:dyDescent="0.3">
      <c r="D46" s="74"/>
      <c r="E46" s="10" t="s">
        <v>136</v>
      </c>
      <c r="F46" s="21">
        <v>3.272078</v>
      </c>
      <c r="G46" s="50">
        <v>2.852392</v>
      </c>
      <c r="H46" s="88"/>
      <c r="I46" s="91"/>
      <c r="J46" s="21">
        <f>'Zed Mini'!F46-'Experimental Procedure'!$C$98</f>
        <v>-0.72792199999999996</v>
      </c>
      <c r="K46" s="88"/>
      <c r="L46" s="50">
        <f>IF('Zed Mini'!G46-'Experimental Procedure'!$D$98&lt;-180,'Zed Mini'!G46-'Experimental Procedure'!$D$98 + 360,IF('Zed Mini'!G46-'Experimental Procedure'!$D$98&gt;180,'Zed Mini'!G46-'Experimental Procedure'!$D$98 - 360,'Zed Mini'!G46-'Experimental Procedure'!$D$98))</f>
        <v>2.852392</v>
      </c>
      <c r="M46" s="91"/>
      <c r="N46" s="53" t="str">
        <f>IF('Experimental Procedure'!$E$98=0,"NaN",J46/'Experimental Procedure'!$E$98*100)</f>
        <v>NaN</v>
      </c>
      <c r="O46" s="94"/>
      <c r="P46" s="53" t="str">
        <f>IF('Experimental Procedure'!$F$98=0,"NaN",L46/'Experimental Procedure'!$F$98*100)</f>
        <v>NaN</v>
      </c>
      <c r="Q46" s="111"/>
    </row>
    <row r="47" spans="1:17" x14ac:dyDescent="0.25">
      <c r="D47" s="72" t="s">
        <v>190</v>
      </c>
      <c r="E47" s="9" t="s">
        <v>134</v>
      </c>
      <c r="F47" s="17">
        <v>0.94722130000000004</v>
      </c>
      <c r="G47" s="48">
        <v>359.81270000000001</v>
      </c>
      <c r="H47" s="86">
        <f>SQRT((F44-F47)^2+(F45-F48)^2+(F46-F49)^2)</f>
        <v>4.1696126264785347</v>
      </c>
      <c r="I47" s="89">
        <v>3.8950518667134761</v>
      </c>
      <c r="J47" s="17">
        <f>'Zed Mini'!F47-'Experimental Procedure'!$C$99</f>
        <v>0.94722130000000004</v>
      </c>
      <c r="K47" s="86">
        <f t="shared" ref="K47" si="8">SQRT(J47^2+J48^2+J49^2)</f>
        <v>1.2921623863509959</v>
      </c>
      <c r="L47" s="48">
        <f>IF('Zed Mini'!G47-'Experimental Procedure'!$D$99&lt;-180,'Zed Mini'!G47-'Experimental Procedure'!$D$99 + 360,IF('Zed Mini'!G47-'Experimental Procedure'!$D$99&gt;180,'Zed Mini'!G47-'Experimental Procedure'!$D$99 - 360,'Zed Mini'!G47-'Experimental Procedure'!$D$99))</f>
        <v>-0.18729999999999336</v>
      </c>
      <c r="M47" s="89">
        <v>13.881582924350687</v>
      </c>
      <c r="N47" s="51" t="str">
        <f>IF('Experimental Procedure'!$E$99=0,"NaN",J47/'Experimental Procedure'!$E$99*100)</f>
        <v>NaN</v>
      </c>
      <c r="O47" s="92">
        <f>IF('Experimental Procedure'!$G$99=0,"NaN",'Zed Mini'!K47/'Experimental Procedure'!$G$99*100)</f>
        <v>32.304059658774896</v>
      </c>
      <c r="P47" s="51" t="str">
        <f>IF('Experimental Procedure'!$F$99=0,"NaN",L47/'Experimental Procedure'!$F$99*100)</f>
        <v>NaN</v>
      </c>
      <c r="Q47" s="109" t="str">
        <f>IF('Experimental Procedure'!$H$99=0,"NaN",'Zed Mini'!M47/'Experimental Procedure'!$H$99*100)</f>
        <v>NaN</v>
      </c>
    </row>
    <row r="48" spans="1:17" x14ac:dyDescent="0.25">
      <c r="D48" s="73"/>
      <c r="E48" s="9" t="s">
        <v>135</v>
      </c>
      <c r="F48" s="19">
        <v>1.5914550000000001</v>
      </c>
      <c r="G48" s="49">
        <v>346.27539999999999</v>
      </c>
      <c r="H48" s="87"/>
      <c r="I48" s="90"/>
      <c r="J48" s="19">
        <f>'Zed Mini'!F48-'Experimental Procedure'!$C$100</f>
        <v>0.19145500000000015</v>
      </c>
      <c r="K48" s="87"/>
      <c r="L48" s="49">
        <f>IF('Zed Mini'!G48-'Experimental Procedure'!$D$100&lt;-180,'Zed Mini'!G48-'Experimental Procedure'!$D$100 + 360,IF('Zed Mini'!G48-'Experimental Procedure'!$D$100&gt;180,'Zed Mini'!G48-'Experimental Procedure'!$D$100 - 360,'Zed Mini'!G48-'Experimental Procedure'!$D$100))</f>
        <v>-13.724600000000009</v>
      </c>
      <c r="M48" s="90"/>
      <c r="N48" s="52" t="str">
        <f>IF('Experimental Procedure'!$E$100=0,"NaN",J48/'Experimental Procedure'!$E$100*100)</f>
        <v>NaN</v>
      </c>
      <c r="O48" s="93"/>
      <c r="P48" s="52" t="str">
        <f>IF('Experimental Procedure'!$F$100=0,"NaN",L48/'Experimental Procedure'!$F$100*100)</f>
        <v>NaN</v>
      </c>
      <c r="Q48" s="110"/>
    </row>
    <row r="49" spans="4:17" ht="15.75" thickBot="1" x14ac:dyDescent="0.3">
      <c r="D49" s="74"/>
      <c r="E49" s="10" t="s">
        <v>136</v>
      </c>
      <c r="F49" s="21">
        <v>-0.85778810000000005</v>
      </c>
      <c r="G49" s="50">
        <v>2.1009950000000002</v>
      </c>
      <c r="H49" s="88"/>
      <c r="I49" s="91"/>
      <c r="J49" s="21">
        <f>'Zed Mini'!F49-'Experimental Procedure'!$C$101</f>
        <v>-0.85778810000000005</v>
      </c>
      <c r="K49" s="88"/>
      <c r="L49" s="50">
        <f>IF('Zed Mini'!G49-'Experimental Procedure'!$D$101&lt;-180,'Zed Mini'!G49-'Experimental Procedure'!$D$101 + 360,IF('Zed Mini'!G49-'Experimental Procedure'!$D$101&gt;180,'Zed Mini'!G49-'Experimental Procedure'!$D$101 - 360,'Zed Mini'!G49-'Experimental Procedure'!$D$101))</f>
        <v>2.1009950000000002</v>
      </c>
      <c r="M49" s="91"/>
      <c r="N49" s="53">
        <f>IF('Experimental Procedure'!$E$101=0,"NaN",J49/'Experimental Procedure'!$E$101*100)</f>
        <v>-21.444702500000002</v>
      </c>
      <c r="O49" s="94"/>
      <c r="P49" s="53" t="str">
        <f>IF('Experimental Procedure'!$F$101=0,"NaN",L49/'Experimental Procedure'!$F$101*100)</f>
        <v>NaN</v>
      </c>
      <c r="Q49" s="111"/>
    </row>
    <row r="50" spans="4:17" x14ac:dyDescent="0.25">
      <c r="D50" s="72" t="s">
        <v>180</v>
      </c>
      <c r="E50" s="8" t="s">
        <v>134</v>
      </c>
      <c r="F50" s="17">
        <v>4.1007319999999998</v>
      </c>
      <c r="G50" s="48">
        <v>1.0902909999999999</v>
      </c>
      <c r="H50" s="86">
        <f>SQRT((F47-F50)^2+(F48-F51)^2+(F49-F52)^2)</f>
        <v>3.2405897650848647</v>
      </c>
      <c r="I50" s="89">
        <v>6.733255072875906</v>
      </c>
      <c r="J50" s="17">
        <f>'Zed Mini'!F50-'Experimental Procedure'!$C$102</f>
        <v>-1.8992680000000002</v>
      </c>
      <c r="K50" s="86">
        <f t="shared" ref="K50" si="9">SQRT(J50^2+J51^2+J52^2)</f>
        <v>1.9045441741016775</v>
      </c>
      <c r="L50" s="48">
        <f>IF('Zed Mini'!G50-'Experimental Procedure'!$D$102&lt;-180,'Zed Mini'!G50-'Experimental Procedure'!$D$102 + 360,IF('Zed Mini'!G50-'Experimental Procedure'!$D$102&gt;180,'Zed Mini'!G50-'Experimental Procedure'!$D$102 - 360,'Zed Mini'!G50-'Experimental Procedure'!$D$102))</f>
        <v>1.0902909999999999</v>
      </c>
      <c r="M50" s="89">
        <v>7.503731350227401</v>
      </c>
      <c r="N50" s="51">
        <f>IF('Experimental Procedure'!$E$102=0,"NaN",J50/'Experimental Procedure'!$E$102*100)</f>
        <v>-31.654466666666671</v>
      </c>
      <c r="O50" s="92">
        <f>IF('Experimental Procedure'!$G$102=0,"NaN",'Zed Mini'!K50/'Experimental Procedure'!$G$102*100)</f>
        <v>31.742402901694629</v>
      </c>
      <c r="P50" s="51" t="str">
        <f>IF('Experimental Procedure'!$F$102=0,"NaN",L50/'Experimental Procedure'!$F$102*100)</f>
        <v>NaN</v>
      </c>
      <c r="Q50" s="109" t="str">
        <f>IF('Experimental Procedure'!$H$102=0,"NaN",'Zed Mini'!M50/'Experimental Procedure'!$H$102*100)</f>
        <v>NaN</v>
      </c>
    </row>
    <row r="51" spans="4:17" x14ac:dyDescent="0.25">
      <c r="D51" s="73"/>
      <c r="E51" s="9" t="s">
        <v>135</v>
      </c>
      <c r="F51" s="19">
        <v>1.473776</v>
      </c>
      <c r="G51" s="49">
        <v>352.88600000000002</v>
      </c>
      <c r="H51" s="87"/>
      <c r="I51" s="90"/>
      <c r="J51" s="19">
        <f>'Zed Mini'!F51-'Experimental Procedure'!$C$103</f>
        <v>7.3776000000000064E-2</v>
      </c>
      <c r="K51" s="87"/>
      <c r="L51" s="49">
        <f>IF('Zed Mini'!G51-'Experimental Procedure'!$D$103&lt;-180,'Zed Mini'!G51-'Experimental Procedure'!$D$103 + 360,IF('Zed Mini'!G51-'Experimental Procedure'!$D$103&gt;180,'Zed Mini'!G51-'Experimental Procedure'!$D$103 - 360,'Zed Mini'!G51-'Experimental Procedure'!$D$103))</f>
        <v>-7.1139999999999759</v>
      </c>
      <c r="M51" s="90"/>
      <c r="N51" s="52" t="str">
        <f>IF('Experimental Procedure'!$E$103=0,"NaN",J51/'Experimental Procedure'!$E$103*100)</f>
        <v>NaN</v>
      </c>
      <c r="O51" s="93"/>
      <c r="P51" s="52" t="str">
        <f>IF('Experimental Procedure'!$F$103=0,"NaN",L51/'Experimental Procedure'!$F$103*100)</f>
        <v>NaN</v>
      </c>
      <c r="Q51" s="110"/>
    </row>
    <row r="52" spans="4:17" ht="15.75" thickBot="1" x14ac:dyDescent="0.3">
      <c r="D52" s="74"/>
      <c r="E52" s="10" t="s">
        <v>136</v>
      </c>
      <c r="F52" s="21">
        <v>-0.1209408</v>
      </c>
      <c r="G52" s="50">
        <v>2.0583269999999998</v>
      </c>
      <c r="H52" s="88"/>
      <c r="I52" s="91"/>
      <c r="J52" s="21">
        <f>'Zed Mini'!F52-'Experimental Procedure'!$C$104</f>
        <v>-0.1209408</v>
      </c>
      <c r="K52" s="88"/>
      <c r="L52" s="50">
        <f>IF('Zed Mini'!G52-'Experimental Procedure'!$D$104&lt;-180,'Zed Mini'!G52-'Experimental Procedure'!$D$104 + 360,IF('Zed Mini'!G52-'Experimental Procedure'!$D$104&gt;180,'Zed Mini'!G52-'Experimental Procedure'!$D$104 - 360,'Zed Mini'!G52-'Experimental Procedure'!$D$104))</f>
        <v>2.0583269999999998</v>
      </c>
      <c r="M52" s="91"/>
      <c r="N52" s="53" t="str">
        <f>IF('Experimental Procedure'!$E$104=0,"NaN",J52/'Experimental Procedure'!$E$104*100)</f>
        <v>NaN</v>
      </c>
      <c r="O52" s="94"/>
      <c r="P52" s="53" t="str">
        <f>IF('Experimental Procedure'!$F$104=0,"NaN",L52/'Experimental Procedure'!$F$104*100)</f>
        <v>NaN</v>
      </c>
      <c r="Q52" s="111"/>
    </row>
    <row r="53" spans="4:17" ht="15.75" thickBot="1" x14ac:dyDescent="0.3">
      <c r="D53" s="29" t="s">
        <v>148</v>
      </c>
      <c r="E53" s="29"/>
      <c r="F53" s="40"/>
      <c r="G53" s="24"/>
      <c r="H53" s="24"/>
      <c r="I53" s="24"/>
      <c r="J53" s="24"/>
      <c r="K53" s="24"/>
      <c r="L53" s="26"/>
      <c r="M53" s="24"/>
      <c r="O53" s="30"/>
      <c r="P53" s="13"/>
      <c r="Q53" s="31"/>
    </row>
    <row r="54" spans="4:17" ht="15.75" thickBot="1" x14ac:dyDescent="0.3">
      <c r="D54" s="75" t="s">
        <v>163</v>
      </c>
      <c r="E54" s="76"/>
      <c r="F54" s="12" t="s">
        <v>137</v>
      </c>
      <c r="G54" s="23" t="s">
        <v>197</v>
      </c>
      <c r="H54" s="16" t="s">
        <v>178</v>
      </c>
      <c r="I54" s="16" t="s">
        <v>179</v>
      </c>
      <c r="J54" s="16" t="s">
        <v>143</v>
      </c>
      <c r="K54" s="34" t="s">
        <v>168</v>
      </c>
      <c r="L54" s="23" t="s">
        <v>144</v>
      </c>
      <c r="M54" s="12" t="s">
        <v>167</v>
      </c>
      <c r="N54" s="16" t="s">
        <v>141</v>
      </c>
      <c r="O54" s="16" t="s">
        <v>171</v>
      </c>
      <c r="P54" s="23" t="s">
        <v>142</v>
      </c>
      <c r="Q54" s="23" t="s">
        <v>172</v>
      </c>
    </row>
    <row r="55" spans="4:17" x14ac:dyDescent="0.25">
      <c r="D55" s="72" t="s">
        <v>180</v>
      </c>
      <c r="E55" s="9" t="s">
        <v>134</v>
      </c>
      <c r="F55" s="17">
        <v>6.0049039999999998</v>
      </c>
      <c r="G55" s="45">
        <v>4.8535539999999999</v>
      </c>
      <c r="H55" s="86">
        <v>0</v>
      </c>
      <c r="I55" s="89">
        <v>0</v>
      </c>
      <c r="J55" s="17">
        <f>'Zed Mini'!F55-'Experimental Procedure'!$C$90</f>
        <v>4.9039999999997974E-3</v>
      </c>
      <c r="K55" s="95">
        <f>SQRT(J55^2+J56^2+J57^2)</f>
        <v>1.3617215590747573E-2</v>
      </c>
      <c r="L55" s="48">
        <f>IF('Zed Mini'!G55-'Experimental Procedure'!$D$90&lt;-180,'Zed Mini'!G55-'Experimental Procedure'!$D$90 + 360,IF('Zed Mini'!G55-'Experimental Procedure'!$D$90&gt;180,'Zed Mini'!G55-'Experimental Procedure'!$D$90 - 360,'Zed Mini'!G55-'Experimental Procedure'!$D$90))</f>
        <v>4.8535539999999999</v>
      </c>
      <c r="M55" s="106">
        <v>5.5698771644900251</v>
      </c>
      <c r="N55" s="51" t="str">
        <f>IF('Experimental Procedure'!$E$90=0,"NaN",J55/'Experimental Procedure'!$E$90*100)</f>
        <v>NaN</v>
      </c>
      <c r="O55" s="92" t="str">
        <f>IF('Experimental Procedure'!$G$90=0,"NaN",'Zed Mini'!K55/'Experimental Procedure'!$G$90*100)</f>
        <v>NaN</v>
      </c>
      <c r="P55" s="51" t="str">
        <f>IF('Experimental Procedure'!$F$90=0,"NaN",L55/'Experimental Procedure'!$F$90*100)</f>
        <v>NaN</v>
      </c>
      <c r="Q55" s="109" t="str">
        <f>IF('Experimental Procedure'!$H$90=0,"NaN",'Zed Mini'!M55/'Experimental Procedure'!$H$90*100)</f>
        <v>NaN</v>
      </c>
    </row>
    <row r="56" spans="4:17" x14ac:dyDescent="0.25">
      <c r="D56" s="73"/>
      <c r="E56" s="9" t="s">
        <v>135</v>
      </c>
      <c r="F56" s="19">
        <v>1.403143</v>
      </c>
      <c r="G56" s="46">
        <v>0.6200698</v>
      </c>
      <c r="H56" s="87"/>
      <c r="I56" s="90"/>
      <c r="J56" s="19">
        <f>'Zed Mini'!F56-'Experimental Procedure'!$C$91</f>
        <v>3.1430000000001179E-3</v>
      </c>
      <c r="K56" s="96"/>
      <c r="L56" s="49">
        <f>IF('Zed Mini'!G56-'Experimental Procedure'!$D$91&lt;-180,'Zed Mini'!G56-'Experimental Procedure'!$D$91 + 360,IF('Zed Mini'!G56-'Experimental Procedure'!$D$91&gt;180,'Zed Mini'!G56-'Experimental Procedure'!$D$91 - 360,'Zed Mini'!G56-'Experimental Procedure'!$D$91))</f>
        <v>0.6200698</v>
      </c>
      <c r="M56" s="107"/>
      <c r="N56" s="52" t="str">
        <f>IF('Experimental Procedure'!$E$91=0,"NaN",J56/'Experimental Procedure'!$E$91*100)</f>
        <v>NaN</v>
      </c>
      <c r="O56" s="93"/>
      <c r="P56" s="52" t="str">
        <f>IF('Experimental Procedure'!$F$91=0,"NaN",L56/'Experimental Procedure'!$F$91*100)</f>
        <v>NaN</v>
      </c>
      <c r="Q56" s="110"/>
    </row>
    <row r="57" spans="4:17" ht="15.75" thickBot="1" x14ac:dyDescent="0.3">
      <c r="D57" s="74"/>
      <c r="E57" s="10" t="s">
        <v>136</v>
      </c>
      <c r="F57" s="21">
        <v>-1.230857E-2</v>
      </c>
      <c r="G57" s="47">
        <v>2.6884749999999999</v>
      </c>
      <c r="H57" s="88"/>
      <c r="I57" s="91"/>
      <c r="J57" s="21">
        <f>'Zed Mini'!F57-'Experimental Procedure'!$C$92</f>
        <v>-1.230857E-2</v>
      </c>
      <c r="K57" s="97"/>
      <c r="L57" s="50">
        <f>IF('Zed Mini'!G57-'Experimental Procedure'!$D$92&lt;-180,'Zed Mini'!G57-'Experimental Procedure'!$D$92 + 360,IF('Zed Mini'!G57-'Experimental Procedure'!$D$92&gt;180,'Zed Mini'!G57-'Experimental Procedure'!$D$92 - 360,'Zed Mini'!G57-'Experimental Procedure'!$D$92))</f>
        <v>2.6884749999999999</v>
      </c>
      <c r="M57" s="108"/>
      <c r="N57" s="53" t="str">
        <f>IF('Experimental Procedure'!$E$92=0,"NaN",J57/'Experimental Procedure'!$E$92*100)</f>
        <v>NaN</v>
      </c>
      <c r="O57" s="94"/>
      <c r="P57" s="53" t="str">
        <f>IF('Experimental Procedure'!$F$92=0,"NaN",L57/'Experimental Procedure'!$F$92*100)</f>
        <v>NaN</v>
      </c>
      <c r="Q57" s="111"/>
    </row>
    <row r="58" spans="4:17" x14ac:dyDescent="0.25">
      <c r="D58" s="72" t="s">
        <v>189</v>
      </c>
      <c r="E58" s="8" t="s">
        <v>134</v>
      </c>
      <c r="F58" s="17">
        <v>5.9694240000000001</v>
      </c>
      <c r="G58" s="48">
        <v>358.73020000000002</v>
      </c>
      <c r="H58" s="86">
        <f>SQRT((F55-F58)^2+(F56-F59)^2+(F57-F60)^2)</f>
        <v>3.9936375844971468</v>
      </c>
      <c r="I58" s="89">
        <v>7.3743156194188133</v>
      </c>
      <c r="J58" s="17">
        <f>'Zed Mini'!F58-'Experimental Procedure'!$C$93</f>
        <v>-3.0575999999999937E-2</v>
      </c>
      <c r="K58" s="86">
        <f t="shared" ref="K58" si="10">SQRT(J58^2+J59^2+J60^2)</f>
        <v>8.2841571768044145E-2</v>
      </c>
      <c r="L58" s="48">
        <f>IF('Zed Mini'!G58-'Experimental Procedure'!$D$93&lt;-180,'Zed Mini'!G58-'Experimental Procedure'!$D$93 + 360,IF('Zed Mini'!G58-'Experimental Procedure'!$D$93&gt;180,'Zed Mini'!G58-'Experimental Procedure'!$D$93 - 360,'Zed Mini'!G58-'Experimental Procedure'!$D$93))</f>
        <v>-1.2697999999999752</v>
      </c>
      <c r="M58" s="89">
        <v>6.9348061386383151</v>
      </c>
      <c r="N58" s="51" t="str">
        <f>IF('Experimental Procedure'!$E$93=0,"NaN",J58/'Experimental Procedure'!$E$93*100)</f>
        <v>NaN</v>
      </c>
      <c r="O58" s="92">
        <f>IF('Experimental Procedure'!$G$93=0,"NaN",'Zed Mini'!K58/'Experimental Procedure'!$G$93*100)</f>
        <v>2.0710392942011038</v>
      </c>
      <c r="P58" s="51" t="str">
        <f>IF('Experimental Procedure'!$F$93=0,"NaN",L58/'Experimental Procedure'!$F$93*100)</f>
        <v>NaN</v>
      </c>
      <c r="Q58" s="109" t="str">
        <f>IF('Experimental Procedure'!$H$93=0,"NaN",'Zed Mini'!M58/'Experimental Procedure'!$H$93*100)</f>
        <v>NaN</v>
      </c>
    </row>
    <row r="59" spans="4:17" x14ac:dyDescent="0.25">
      <c r="D59" s="73"/>
      <c r="E59" s="9" t="s">
        <v>135</v>
      </c>
      <c r="F59" s="19">
        <v>1.474491</v>
      </c>
      <c r="G59" s="49">
        <v>3.1364610000000002</v>
      </c>
      <c r="H59" s="87"/>
      <c r="I59" s="90"/>
      <c r="J59" s="19">
        <f>'Zed Mini'!F59-'Experimental Procedure'!$C$94</f>
        <v>7.4491000000000085E-2</v>
      </c>
      <c r="K59" s="87"/>
      <c r="L59" s="49">
        <f>IF('Zed Mini'!G59-'Experimental Procedure'!$D$94&lt;-180,'Zed Mini'!G59-'Experimental Procedure'!$D$94 + 360,IF('Zed Mini'!G59-'Experimental Procedure'!$D$94&gt;180,'Zed Mini'!G59-'Experimental Procedure'!$D$94 - 360,'Zed Mini'!G59-'Experimental Procedure'!$D$94))</f>
        <v>3.1364610000000002</v>
      </c>
      <c r="M59" s="90"/>
      <c r="N59" s="52" t="str">
        <f>IF('Experimental Procedure'!$E$94=0,"NaN",J59/'Experimental Procedure'!$E$94*100)</f>
        <v>NaN</v>
      </c>
      <c r="O59" s="93"/>
      <c r="P59" s="52" t="str">
        <f>IF('Experimental Procedure'!$F$94=0,"NaN",L59/'Experimental Procedure'!$F$94*100)</f>
        <v>NaN</v>
      </c>
      <c r="Q59" s="110"/>
    </row>
    <row r="60" spans="4:17" ht="15.75" thickBot="1" x14ac:dyDescent="0.3">
      <c r="D60" s="74"/>
      <c r="E60" s="10" t="s">
        <v>136</v>
      </c>
      <c r="F60" s="21">
        <v>3.980534</v>
      </c>
      <c r="G60" s="50">
        <v>6.0194910000000004</v>
      </c>
      <c r="H60" s="88"/>
      <c r="I60" s="91"/>
      <c r="J60" s="21">
        <f>'Zed Mini'!F60-'Experimental Procedure'!$C$95</f>
        <v>-1.9465999999999983E-2</v>
      </c>
      <c r="K60" s="88"/>
      <c r="L60" s="50">
        <f>IF('Zed Mini'!G60-'Experimental Procedure'!$D$95&lt;-180,'Zed Mini'!G60-'Experimental Procedure'!$D$95 + 360,IF('Zed Mini'!G60-'Experimental Procedure'!$D$95&gt;180,'Zed Mini'!G60-'Experimental Procedure'!$D$95 - 360,'Zed Mini'!G60-'Experimental Procedure'!$D$95))</f>
        <v>6.0194910000000004</v>
      </c>
      <c r="M60" s="91"/>
      <c r="N60" s="53">
        <f>IF('Experimental Procedure'!$E$95=0,"NaN",J60/'Experimental Procedure'!$E$95*100)</f>
        <v>-0.48664999999999958</v>
      </c>
      <c r="O60" s="94"/>
      <c r="P60" s="53" t="str">
        <f>IF('Experimental Procedure'!$F$95=0,"NaN",L60/'Experimental Procedure'!$F$95*100)</f>
        <v>NaN</v>
      </c>
      <c r="Q60" s="111"/>
    </row>
    <row r="61" spans="4:17" x14ac:dyDescent="0.25">
      <c r="D61" s="72" t="s">
        <v>188</v>
      </c>
      <c r="E61" s="8" t="s">
        <v>134</v>
      </c>
      <c r="F61" s="17">
        <v>0.46311619999999998</v>
      </c>
      <c r="G61" s="48">
        <v>0.26835059999999999</v>
      </c>
      <c r="H61" s="86">
        <f>SQRT((F58-F61)^2+(F59-F62)^2+(F60-F63)^2)</f>
        <v>5.523398889611526</v>
      </c>
      <c r="I61" s="89">
        <v>9.4797497360323568</v>
      </c>
      <c r="J61" s="17">
        <f>'Zed Mini'!F61-'Experimental Procedure'!$C$96</f>
        <v>0.46311619999999998</v>
      </c>
      <c r="K61" s="86">
        <f t="shared" ref="K61" si="11">SQRT(J61^2+J62^2+J63^2)</f>
        <v>0.66770377447520857</v>
      </c>
      <c r="L61" s="48">
        <f>IF('Zed Mini'!G61-'Experimental Procedure'!$D$96&lt;-180,'Zed Mini'!G61-'Experimental Procedure'!$D$96 + 360,IF('Zed Mini'!G61-'Experimental Procedure'!$D$96&gt;180,'Zed Mini'!G61-'Experimental Procedure'!$D$96 - 360,'Zed Mini'!G61-'Experimental Procedure'!$D$96))</f>
        <v>0.26835059999999999</v>
      </c>
      <c r="M61" s="89">
        <v>7.9338563472865422</v>
      </c>
      <c r="N61" s="51">
        <f>IF('Experimental Procedure'!$E$96=0,"NaN",J61/'Experimental Procedure'!$E$96*100)</f>
        <v>7.7186033333333333</v>
      </c>
      <c r="O61" s="92">
        <f>IF('Experimental Procedure'!$G$96=0,"NaN",'Zed Mini'!K61/'Experimental Procedure'!$G$96*100)</f>
        <v>11.128396241253476</v>
      </c>
      <c r="P61" s="51" t="str">
        <f>IF('Experimental Procedure'!$F$96=0,"NaN",L61/'Experimental Procedure'!$F$96*100)</f>
        <v>NaN</v>
      </c>
      <c r="Q61" s="109" t="str">
        <f>IF('Experimental Procedure'!$H$96=0,"NaN",'Zed Mini'!M61/'Experimental Procedure'!$H$96*100)</f>
        <v>NaN</v>
      </c>
    </row>
    <row r="62" spans="4:17" x14ac:dyDescent="0.25">
      <c r="D62" s="73"/>
      <c r="E62" s="9" t="s">
        <v>135</v>
      </c>
      <c r="F62" s="19">
        <v>1.614905</v>
      </c>
      <c r="G62" s="49">
        <v>353.84769999999997</v>
      </c>
      <c r="H62" s="87"/>
      <c r="I62" s="90"/>
      <c r="J62" s="19">
        <f>'Zed Mini'!F62-'Experimental Procedure'!$C$97</f>
        <v>0.21490500000000012</v>
      </c>
      <c r="K62" s="87"/>
      <c r="L62" s="49">
        <f>IF('Zed Mini'!G62-'Experimental Procedure'!$D$97&lt;-180,'Zed Mini'!G62-'Experimental Procedure'!$D$97 + 360,IF('Zed Mini'!G62-'Experimental Procedure'!$D$97&gt;180,'Zed Mini'!G62-'Experimental Procedure'!$D$97 - 360,'Zed Mini'!G62-'Experimental Procedure'!$D$97))</f>
        <v>-6.1523000000000252</v>
      </c>
      <c r="M62" s="90"/>
      <c r="N62" s="52" t="str">
        <f>IF('Experimental Procedure'!$E$97=0,"NaN",J62/'Experimental Procedure'!$E$97*100)</f>
        <v>NaN</v>
      </c>
      <c r="O62" s="93"/>
      <c r="P62" s="52" t="str">
        <f>IF('Experimental Procedure'!$F$97=0,"NaN",L62/'Experimental Procedure'!$F$97*100)</f>
        <v>NaN</v>
      </c>
      <c r="Q62" s="110"/>
    </row>
    <row r="63" spans="4:17" ht="15.75" thickBot="1" x14ac:dyDescent="0.3">
      <c r="D63" s="74"/>
      <c r="E63" s="10" t="s">
        <v>136</v>
      </c>
      <c r="F63" s="21">
        <v>3.5696889999999999</v>
      </c>
      <c r="G63" s="50">
        <v>4.9903430000000002</v>
      </c>
      <c r="H63" s="88"/>
      <c r="I63" s="91"/>
      <c r="J63" s="21">
        <f>'Zed Mini'!F63-'Experimental Procedure'!$C$98</f>
        <v>-0.43031100000000011</v>
      </c>
      <c r="K63" s="88"/>
      <c r="L63" s="50">
        <f>IF('Zed Mini'!G63-'Experimental Procedure'!$D$98&lt;-180,'Zed Mini'!G63-'Experimental Procedure'!$D$98 + 360,IF('Zed Mini'!G63-'Experimental Procedure'!$D$98&gt;180,'Zed Mini'!G63-'Experimental Procedure'!$D$98 - 360,'Zed Mini'!G63-'Experimental Procedure'!$D$98))</f>
        <v>4.9903430000000002</v>
      </c>
      <c r="M63" s="91"/>
      <c r="N63" s="53" t="str">
        <f>IF('Experimental Procedure'!$E$98=0,"NaN",J63/'Experimental Procedure'!$E$98*100)</f>
        <v>NaN</v>
      </c>
      <c r="O63" s="94"/>
      <c r="P63" s="53" t="str">
        <f>IF('Experimental Procedure'!$F$98=0,"NaN",L63/'Experimental Procedure'!$F$98*100)</f>
        <v>NaN</v>
      </c>
      <c r="Q63" s="111"/>
    </row>
    <row r="64" spans="4:17" x14ac:dyDescent="0.25">
      <c r="D64" s="72" t="s">
        <v>190</v>
      </c>
      <c r="E64" s="9" t="s">
        <v>134</v>
      </c>
      <c r="F64" s="17">
        <v>0.76208540000000002</v>
      </c>
      <c r="G64" s="48">
        <v>354.029</v>
      </c>
      <c r="H64" s="86">
        <f>SQRT((F61-F64)^2+(F62-F65)^2+(F63-F66)^2)</f>
        <v>4.0691858878646787</v>
      </c>
      <c r="I64" s="89">
        <v>6.6515159382269697</v>
      </c>
      <c r="J64" s="17">
        <f>'Zed Mini'!F64-'Experimental Procedure'!$C$99</f>
        <v>0.76208540000000002</v>
      </c>
      <c r="K64" s="86">
        <f t="shared" ref="K64" si="12">SQRT(J64^2+J65^2+J66^2)</f>
        <v>0.92822143536107271</v>
      </c>
      <c r="L64" s="48">
        <f>IF('Zed Mini'!G64-'Experimental Procedure'!$D$99&lt;-180,'Zed Mini'!G64-'Experimental Procedure'!$D$99 + 360,IF('Zed Mini'!G64-'Experimental Procedure'!$D$99&gt;180,'Zed Mini'!G64-'Experimental Procedure'!$D$99 - 360,'Zed Mini'!G64-'Experimental Procedure'!$D$99))</f>
        <v>-5.9710000000000036</v>
      </c>
      <c r="M64" s="89">
        <v>11.208664165915238</v>
      </c>
      <c r="N64" s="51" t="str">
        <f>IF('Experimental Procedure'!$E$99=0,"NaN",J64/'Experimental Procedure'!$E$99*100)</f>
        <v>NaN</v>
      </c>
      <c r="O64" s="92">
        <f>IF('Experimental Procedure'!$G$99=0,"NaN",'Zed Mini'!K64/'Experimental Procedure'!$G$99*100)</f>
        <v>23.205535884026819</v>
      </c>
      <c r="P64" s="51" t="str">
        <f>IF('Experimental Procedure'!$F$99=0,"NaN",L64/'Experimental Procedure'!$F$99*100)</f>
        <v>NaN</v>
      </c>
      <c r="Q64" s="109" t="str">
        <f>IF('Experimental Procedure'!$H$99=0,"NaN",'Zed Mini'!M64/'Experimental Procedure'!$H$99*100)</f>
        <v>NaN</v>
      </c>
    </row>
    <row r="65" spans="4:17" x14ac:dyDescent="0.25">
      <c r="D65" s="73"/>
      <c r="E65" s="9" t="s">
        <v>135</v>
      </c>
      <c r="F65" s="19">
        <v>1.6054269999999999</v>
      </c>
      <c r="G65" s="49">
        <v>351.55840000000001</v>
      </c>
      <c r="H65" s="87"/>
      <c r="I65" s="90"/>
      <c r="J65" s="19">
        <f>'Zed Mini'!F65-'Experimental Procedure'!$C$100</f>
        <v>0.20542700000000003</v>
      </c>
      <c r="K65" s="87"/>
      <c r="L65" s="49">
        <f>IF('Zed Mini'!G65-'Experimental Procedure'!$D$100&lt;-180,'Zed Mini'!G65-'Experimental Procedure'!$D$100 + 360,IF('Zed Mini'!G65-'Experimental Procedure'!$D$100&gt;180,'Zed Mini'!G65-'Experimental Procedure'!$D$100 - 360,'Zed Mini'!G65-'Experimental Procedure'!$D$100))</f>
        <v>-8.441599999999994</v>
      </c>
      <c r="M65" s="90"/>
      <c r="N65" s="52" t="str">
        <f>IF('Experimental Procedure'!$E$100=0,"NaN",J65/'Experimental Procedure'!$E$100*100)</f>
        <v>NaN</v>
      </c>
      <c r="O65" s="93"/>
      <c r="P65" s="52" t="str">
        <f>IF('Experimental Procedure'!$F$100=0,"NaN",L65/'Experimental Procedure'!$F$100*100)</f>
        <v>NaN</v>
      </c>
      <c r="Q65" s="110"/>
    </row>
    <row r="66" spans="4:17" ht="15.75" thickBot="1" x14ac:dyDescent="0.3">
      <c r="D66" s="74"/>
      <c r="E66" s="10" t="s">
        <v>136</v>
      </c>
      <c r="F66" s="21">
        <v>-0.48848809999999998</v>
      </c>
      <c r="G66" s="50">
        <v>4.8034889999999999</v>
      </c>
      <c r="H66" s="88"/>
      <c r="I66" s="91"/>
      <c r="J66" s="21">
        <f>'Zed Mini'!F66-'Experimental Procedure'!$C$101</f>
        <v>-0.48848809999999998</v>
      </c>
      <c r="K66" s="88"/>
      <c r="L66" s="50">
        <f>IF('Zed Mini'!G66-'Experimental Procedure'!$D$101&lt;-180,'Zed Mini'!G66-'Experimental Procedure'!$D$101 + 360,IF('Zed Mini'!G66-'Experimental Procedure'!$D$101&gt;180,'Zed Mini'!G66-'Experimental Procedure'!$D$101 - 360,'Zed Mini'!G66-'Experimental Procedure'!$D$101))</f>
        <v>4.8034889999999999</v>
      </c>
      <c r="M66" s="91"/>
      <c r="N66" s="53">
        <f>IF('Experimental Procedure'!$E$101=0,"NaN",J66/'Experimental Procedure'!$E$101*100)</f>
        <v>-12.2122025</v>
      </c>
      <c r="O66" s="94"/>
      <c r="P66" s="53" t="str">
        <f>IF('Experimental Procedure'!$F$101=0,"NaN",L66/'Experimental Procedure'!$F$101*100)</f>
        <v>NaN</v>
      </c>
      <c r="Q66" s="111"/>
    </row>
    <row r="67" spans="4:17" x14ac:dyDescent="0.25">
      <c r="D67" s="72" t="s">
        <v>180</v>
      </c>
      <c r="E67" s="8" t="s">
        <v>134</v>
      </c>
      <c r="F67" s="17">
        <v>4.0681430000000001</v>
      </c>
      <c r="G67" s="48">
        <v>359.84350000000001</v>
      </c>
      <c r="H67" s="86">
        <f>SQRT((F64-F67)^2+(F65-F68)^2+(F66-F69)^2)</f>
        <v>3.3370673215990232</v>
      </c>
      <c r="I67" s="89">
        <v>8.6448823845860705</v>
      </c>
      <c r="J67" s="17">
        <f>'Zed Mini'!F67-'Experimental Procedure'!$C$102</f>
        <v>-1.9318569999999999</v>
      </c>
      <c r="K67" s="86">
        <f t="shared" ref="K67" si="13">SQRT(J67^2+J68^2+J69^2)</f>
        <v>1.9383788475202244</v>
      </c>
      <c r="L67" s="48">
        <f>IF('Zed Mini'!G67-'Experimental Procedure'!$D$102&lt;-180,'Zed Mini'!G67-'Experimental Procedure'!$D$102 + 360,IF('Zed Mini'!G67-'Experimental Procedure'!$D$102&gt;180,'Zed Mini'!G67-'Experimental Procedure'!$D$102 - 360,'Zed Mini'!G67-'Experimental Procedure'!$D$102))</f>
        <v>-0.15649999999999409</v>
      </c>
      <c r="M67" s="89">
        <v>4.2388605411371181</v>
      </c>
      <c r="N67" s="51">
        <f>IF('Experimental Procedure'!$E$102=0,"NaN",J67/'Experimental Procedure'!$E$102*100)</f>
        <v>-32.197616666666669</v>
      </c>
      <c r="O67" s="92">
        <f>IF('Experimental Procedure'!$G$102=0,"NaN",'Zed Mini'!K67/'Experimental Procedure'!$G$102*100)</f>
        <v>32.306314125337074</v>
      </c>
      <c r="P67" s="51" t="str">
        <f>IF('Experimental Procedure'!$F$102=0,"NaN",L67/'Experimental Procedure'!$F$102*100)</f>
        <v>NaN</v>
      </c>
      <c r="Q67" s="109" t="str">
        <f>IF('Experimental Procedure'!$H$102=0,"NaN",'Zed Mini'!M67/'Experimental Procedure'!$H$102*100)</f>
        <v>NaN</v>
      </c>
    </row>
    <row r="68" spans="4:17" x14ac:dyDescent="0.25">
      <c r="D68" s="73"/>
      <c r="E68" s="9" t="s">
        <v>135</v>
      </c>
      <c r="F68" s="19">
        <v>1.554387</v>
      </c>
      <c r="G68" s="49">
        <v>357.92129999999997</v>
      </c>
      <c r="H68" s="87"/>
      <c r="I68" s="90"/>
      <c r="J68" s="19">
        <f>'Zed Mini'!F68-'Experimental Procedure'!$C$103</f>
        <v>0.15438700000000005</v>
      </c>
      <c r="K68" s="87"/>
      <c r="L68" s="49">
        <f>IF('Zed Mini'!G68-'Experimental Procedure'!$D$103&lt;-180,'Zed Mini'!G68-'Experimental Procedure'!$D$103 + 360,IF('Zed Mini'!G68-'Experimental Procedure'!$D$103&gt;180,'Zed Mini'!G68-'Experimental Procedure'!$D$103 - 360,'Zed Mini'!G68-'Experimental Procedure'!$D$103))</f>
        <v>-2.0787000000000262</v>
      </c>
      <c r="M68" s="90"/>
      <c r="N68" s="52" t="str">
        <f>IF('Experimental Procedure'!$E$103=0,"NaN",J68/'Experimental Procedure'!$E$103*100)</f>
        <v>NaN</v>
      </c>
      <c r="O68" s="93"/>
      <c r="P68" s="52" t="str">
        <f>IF('Experimental Procedure'!$F$103=0,"NaN",L68/'Experimental Procedure'!$F$103*100)</f>
        <v>NaN</v>
      </c>
      <c r="Q68" s="110"/>
    </row>
    <row r="69" spans="4:17" ht="15.75" thickBot="1" x14ac:dyDescent="0.3">
      <c r="D69" s="74"/>
      <c r="E69" s="10" t="s">
        <v>136</v>
      </c>
      <c r="F69" s="21">
        <v>-3.7493230000000002E-2</v>
      </c>
      <c r="G69" s="50">
        <v>3.693905</v>
      </c>
      <c r="H69" s="88"/>
      <c r="I69" s="91"/>
      <c r="J69" s="21">
        <f>'Zed Mini'!F69-'Experimental Procedure'!$C$104</f>
        <v>-3.7493230000000002E-2</v>
      </c>
      <c r="K69" s="88"/>
      <c r="L69" s="50">
        <f>IF('Zed Mini'!G69-'Experimental Procedure'!$D$104&lt;-180,'Zed Mini'!G69-'Experimental Procedure'!$D$104 + 360,IF('Zed Mini'!G69-'Experimental Procedure'!$D$104&gt;180,'Zed Mini'!G69-'Experimental Procedure'!$D$104 - 360,'Zed Mini'!G69-'Experimental Procedure'!$D$104))</f>
        <v>3.693905</v>
      </c>
      <c r="M69" s="91"/>
      <c r="N69" s="53" t="str">
        <f>IF('Experimental Procedure'!$E$104=0,"NaN",J69/'Experimental Procedure'!$E$104*100)</f>
        <v>NaN</v>
      </c>
      <c r="O69" s="94"/>
      <c r="P69" s="53" t="str">
        <f>IF('Experimental Procedure'!$F$104=0,"NaN",L69/'Experimental Procedure'!$F$104*100)</f>
        <v>NaN</v>
      </c>
      <c r="Q69" s="111"/>
    </row>
    <row r="70" spans="4:17" ht="15.75" thickBot="1" x14ac:dyDescent="0.3">
      <c r="D70" s="15" t="s">
        <v>149</v>
      </c>
      <c r="E70" s="15"/>
      <c r="F70" s="15"/>
    </row>
    <row r="71" spans="4:17" ht="15.75" thickBot="1" x14ac:dyDescent="0.3">
      <c r="D71" s="75" t="s">
        <v>163</v>
      </c>
      <c r="E71" s="76"/>
      <c r="F71" s="12" t="s">
        <v>137</v>
      </c>
      <c r="G71" s="23" t="s">
        <v>197</v>
      </c>
      <c r="H71" s="16" t="s">
        <v>178</v>
      </c>
      <c r="I71" s="16" t="s">
        <v>179</v>
      </c>
      <c r="J71" s="16" t="s">
        <v>143</v>
      </c>
      <c r="K71" s="34" t="s">
        <v>168</v>
      </c>
      <c r="L71" s="23" t="s">
        <v>144</v>
      </c>
      <c r="M71" s="12" t="s">
        <v>167</v>
      </c>
      <c r="N71" s="16" t="s">
        <v>141</v>
      </c>
      <c r="O71" s="16" t="s">
        <v>171</v>
      </c>
      <c r="P71" s="23" t="s">
        <v>142</v>
      </c>
      <c r="Q71" s="23" t="s">
        <v>172</v>
      </c>
    </row>
    <row r="72" spans="4:17" x14ac:dyDescent="0.25">
      <c r="D72" s="72" t="s">
        <v>180</v>
      </c>
      <c r="E72" s="9" t="s">
        <v>134</v>
      </c>
      <c r="F72" s="17">
        <v>5.9941129999999996</v>
      </c>
      <c r="G72" s="45">
        <v>4.1067720000000003</v>
      </c>
      <c r="H72" s="86">
        <v>0</v>
      </c>
      <c r="I72" s="89">
        <v>0</v>
      </c>
      <c r="J72" s="17">
        <f>'Zed Mini'!F72-'Experimental Procedure'!$C$90</f>
        <v>-5.8870000000004197E-3</v>
      </c>
      <c r="K72" s="95">
        <f>SQRT(J72^2+J73^2+J74^2)</f>
        <v>7.7984487121969311E-3</v>
      </c>
      <c r="L72" s="48">
        <f>IF('Zed Mini'!G72-'Experimental Procedure'!$D$90&lt;-180,'Zed Mini'!G72-'Experimental Procedure'!$D$90 + 360,IF('Zed Mini'!G72-'Experimental Procedure'!$D$90&gt;180,'Zed Mini'!G72-'Experimental Procedure'!$D$90 - 360,'Zed Mini'!G72-'Experimental Procedure'!$D$90))</f>
        <v>4.1067720000000003</v>
      </c>
      <c r="M72" s="106">
        <v>6.0676755190482261</v>
      </c>
      <c r="N72" s="51" t="str">
        <f>IF('Experimental Procedure'!$E$90=0,"NaN",J72/'Experimental Procedure'!$E$90*100)</f>
        <v>NaN</v>
      </c>
      <c r="O72" s="92" t="str">
        <f>IF('Experimental Procedure'!$G$90=0,"NaN",'Zed Mini'!K72/'Experimental Procedure'!$G$90*100)</f>
        <v>NaN</v>
      </c>
      <c r="P72" s="51" t="str">
        <f>IF('Experimental Procedure'!$F$90=0,"NaN",L72/'Experimental Procedure'!$F$90*100)</f>
        <v>NaN</v>
      </c>
      <c r="Q72" s="109" t="str">
        <f>IF('Experimental Procedure'!$H$90=0,"NaN",'Zed Mini'!M72/'Experimental Procedure'!$H$90*100)</f>
        <v>NaN</v>
      </c>
    </row>
    <row r="73" spans="4:17" x14ac:dyDescent="0.25">
      <c r="D73" s="73"/>
      <c r="E73" s="9" t="s">
        <v>135</v>
      </c>
      <c r="F73" s="19">
        <v>1.4009579999999999</v>
      </c>
      <c r="G73" s="46">
        <v>358.2038</v>
      </c>
      <c r="H73" s="87"/>
      <c r="I73" s="90"/>
      <c r="J73" s="19">
        <f>'Zed Mini'!F73-'Experimental Procedure'!$C$91</f>
        <v>9.580000000000144E-4</v>
      </c>
      <c r="K73" s="96"/>
      <c r="L73" s="49">
        <f>IF('Zed Mini'!G73-'Experimental Procedure'!$D$91&lt;-180,'Zed Mini'!G73-'Experimental Procedure'!$D$91 + 360,IF('Zed Mini'!G73-'Experimental Procedure'!$D$91&gt;180,'Zed Mini'!G73-'Experimental Procedure'!$D$91 - 360,'Zed Mini'!G73-'Experimental Procedure'!$D$91))</f>
        <v>-1.7961999999999989</v>
      </c>
      <c r="M73" s="107"/>
      <c r="N73" s="52" t="str">
        <f>IF('Experimental Procedure'!$E$91=0,"NaN",J73/'Experimental Procedure'!$E$91*100)</f>
        <v>NaN</v>
      </c>
      <c r="O73" s="93"/>
      <c r="P73" s="52" t="str">
        <f>IF('Experimental Procedure'!$F$91=0,"NaN",L73/'Experimental Procedure'!$F$91*100)</f>
        <v>NaN</v>
      </c>
      <c r="Q73" s="110"/>
    </row>
    <row r="74" spans="4:17" ht="15.75" thickBot="1" x14ac:dyDescent="0.3">
      <c r="D74" s="74"/>
      <c r="E74" s="10" t="s">
        <v>136</v>
      </c>
      <c r="F74" s="21">
        <v>-5.0240689999999999E-3</v>
      </c>
      <c r="G74" s="47">
        <v>4.0269069999999996</v>
      </c>
      <c r="H74" s="88"/>
      <c r="I74" s="91"/>
      <c r="J74" s="21">
        <f>'Zed Mini'!F74-'Experimental Procedure'!$C$92</f>
        <v>-5.0240689999999999E-3</v>
      </c>
      <c r="K74" s="97"/>
      <c r="L74" s="50">
        <f>IF('Zed Mini'!G74-'Experimental Procedure'!$D$92&lt;-180,'Zed Mini'!G74-'Experimental Procedure'!$D$92 + 360,IF('Zed Mini'!G74-'Experimental Procedure'!$D$92&gt;180,'Zed Mini'!G74-'Experimental Procedure'!$D$92 - 360,'Zed Mini'!G74-'Experimental Procedure'!$D$92))</f>
        <v>4.0269069999999996</v>
      </c>
      <c r="M74" s="108"/>
      <c r="N74" s="53" t="str">
        <f>IF('Experimental Procedure'!$E$92=0,"NaN",J74/'Experimental Procedure'!$E$92*100)</f>
        <v>NaN</v>
      </c>
      <c r="O74" s="94"/>
      <c r="P74" s="53" t="str">
        <f>IF('Experimental Procedure'!$F$92=0,"NaN",L74/'Experimental Procedure'!$F$92*100)</f>
        <v>NaN</v>
      </c>
      <c r="Q74" s="111"/>
    </row>
    <row r="75" spans="4:17" x14ac:dyDescent="0.25">
      <c r="D75" s="72" t="s">
        <v>189</v>
      </c>
      <c r="E75" s="8" t="s">
        <v>134</v>
      </c>
      <c r="F75" s="17">
        <v>5.8767050000000003</v>
      </c>
      <c r="G75" s="48">
        <v>358.20499999999998</v>
      </c>
      <c r="H75" s="86">
        <f>SQRT((F72-F75)^2+(F73-F76)^2+(F74-F77)^2)</f>
        <v>4.0153941964686011</v>
      </c>
      <c r="I75" s="89">
        <v>5.9132973192481479</v>
      </c>
      <c r="J75" s="17">
        <f>'Zed Mini'!F75-'Experimental Procedure'!$C$93</f>
        <v>-0.12329499999999971</v>
      </c>
      <c r="K75" s="86">
        <f t="shared" ref="K75" si="14">SQRT(J75^2+J76^2+J77^2)</f>
        <v>0.14604981710704038</v>
      </c>
      <c r="L75" s="48">
        <f>IF('Zed Mini'!G75-'Experimental Procedure'!$D$93&lt;-180,'Zed Mini'!G75-'Experimental Procedure'!$D$93 + 360,IF('Zed Mini'!G75-'Experimental Procedure'!$D$93&gt;180,'Zed Mini'!G75-'Experimental Procedure'!$D$93 - 360,'Zed Mini'!G75-'Experimental Procedure'!$D$93))</f>
        <v>-1.7950000000000159</v>
      </c>
      <c r="M75" s="89">
        <v>4.8827311826394455</v>
      </c>
      <c r="N75" s="51" t="str">
        <f>IF('Experimental Procedure'!$E$93=0,"NaN",J75/'Experimental Procedure'!$E$93*100)</f>
        <v>NaN</v>
      </c>
      <c r="O75" s="92">
        <f>IF('Experimental Procedure'!$G$93=0,"NaN",'Zed Mini'!K75/'Experimental Procedure'!$G$93*100)</f>
        <v>3.6512454276760096</v>
      </c>
      <c r="P75" s="51" t="str">
        <f>IF('Experimental Procedure'!$F$93=0,"NaN",L75/'Experimental Procedure'!$F$93*100)</f>
        <v>NaN</v>
      </c>
      <c r="Q75" s="109" t="str">
        <f>IF('Experimental Procedure'!$H$93=0,"NaN",'Zed Mini'!M75/'Experimental Procedure'!$H$93*100)</f>
        <v>NaN</v>
      </c>
    </row>
    <row r="76" spans="4:17" x14ac:dyDescent="0.25">
      <c r="D76" s="73"/>
      <c r="E76" s="9" t="s">
        <v>135</v>
      </c>
      <c r="F76" s="19">
        <v>1.477886</v>
      </c>
      <c r="G76" s="49">
        <v>357.83460000000002</v>
      </c>
      <c r="H76" s="87"/>
      <c r="I76" s="90"/>
      <c r="J76" s="19">
        <f>'Zed Mini'!F76-'Experimental Procedure'!$C$94</f>
        <v>7.7886000000000122E-2</v>
      </c>
      <c r="K76" s="87"/>
      <c r="L76" s="49">
        <f>IF('Zed Mini'!G76-'Experimental Procedure'!$D$94&lt;-180,'Zed Mini'!G76-'Experimental Procedure'!$D$94 + 360,IF('Zed Mini'!G76-'Experimental Procedure'!$D$94&gt;180,'Zed Mini'!G76-'Experimental Procedure'!$D$94 - 360,'Zed Mini'!G76-'Experimental Procedure'!$D$94))</f>
        <v>-2.1653999999999769</v>
      </c>
      <c r="M76" s="90"/>
      <c r="N76" s="52" t="str">
        <f>IF('Experimental Procedure'!$E$94=0,"NaN",J76/'Experimental Procedure'!$E$94*100)</f>
        <v>NaN</v>
      </c>
      <c r="O76" s="93"/>
      <c r="P76" s="52" t="str">
        <f>IF('Experimental Procedure'!$F$94=0,"NaN",L76/'Experimental Procedure'!$F$94*100)</f>
        <v>NaN</v>
      </c>
      <c r="Q76" s="110"/>
    </row>
    <row r="77" spans="4:17" ht="15.75" thickBot="1" x14ac:dyDescent="0.3">
      <c r="D77" s="74"/>
      <c r="E77" s="10" t="s">
        <v>136</v>
      </c>
      <c r="F77" s="21">
        <v>4.0079159999999998</v>
      </c>
      <c r="G77" s="50">
        <v>4.0257699999999996</v>
      </c>
      <c r="H77" s="88"/>
      <c r="I77" s="91"/>
      <c r="J77" s="21">
        <f>'Zed Mini'!F77-'Experimental Procedure'!$C$95</f>
        <v>7.9159999999998121E-3</v>
      </c>
      <c r="K77" s="88"/>
      <c r="L77" s="50">
        <f>IF('Zed Mini'!G77-'Experimental Procedure'!$D$95&lt;-180,'Zed Mini'!G77-'Experimental Procedure'!$D$95 + 360,IF('Zed Mini'!G77-'Experimental Procedure'!$D$95&gt;180,'Zed Mini'!G77-'Experimental Procedure'!$D$95 - 360,'Zed Mini'!G77-'Experimental Procedure'!$D$95))</f>
        <v>4.0257699999999996</v>
      </c>
      <c r="M77" s="91"/>
      <c r="N77" s="53">
        <f>IF('Experimental Procedure'!$E$95=0,"NaN",J77/'Experimental Procedure'!$E$95*100)</f>
        <v>0.1978999999999953</v>
      </c>
      <c r="O77" s="94"/>
      <c r="P77" s="53" t="str">
        <f>IF('Experimental Procedure'!$F$95=0,"NaN",L77/'Experimental Procedure'!$F$95*100)</f>
        <v>NaN</v>
      </c>
      <c r="Q77" s="111"/>
    </row>
    <row r="78" spans="4:17" x14ac:dyDescent="0.25">
      <c r="D78" s="72" t="s">
        <v>188</v>
      </c>
      <c r="E78" s="8" t="s">
        <v>134</v>
      </c>
      <c r="F78" s="17">
        <v>0.4819775</v>
      </c>
      <c r="G78" s="48">
        <v>355.24200000000002</v>
      </c>
      <c r="H78" s="86">
        <f>SQRT((F75-F78)^2+(F76-F79)^2+(F77-F80)^2)</f>
        <v>5.4434887567500541</v>
      </c>
      <c r="I78" s="89">
        <v>9.551760229100319</v>
      </c>
      <c r="J78" s="17">
        <f>'Zed Mini'!F78-'Experimental Procedure'!$C$96</f>
        <v>0.4819775</v>
      </c>
      <c r="K78" s="86">
        <f t="shared" ref="K78" si="15">SQRT(J78^2+J79^2+J80^2)</f>
        <v>0.88110017771320981</v>
      </c>
      <c r="L78" s="48">
        <f>IF('Zed Mini'!G78-'Experimental Procedure'!$D$96&lt;-180,'Zed Mini'!G78-'Experimental Procedure'!$D$96 + 360,IF('Zed Mini'!G78-'Experimental Procedure'!$D$96&gt;180,'Zed Mini'!G78-'Experimental Procedure'!$D$96 - 360,'Zed Mini'!G78-'Experimental Procedure'!$D$96))</f>
        <v>-4.7579999999999814</v>
      </c>
      <c r="M78" s="89">
        <v>11.640542399062154</v>
      </c>
      <c r="N78" s="51">
        <f>IF('Experimental Procedure'!$E$96=0,"NaN",J78/'Experimental Procedure'!$E$96*100)</f>
        <v>8.0329583333333332</v>
      </c>
      <c r="O78" s="92">
        <f>IF('Experimental Procedure'!$G$96=0,"NaN",'Zed Mini'!K78/'Experimental Procedure'!$G$96*100)</f>
        <v>14.685002961886831</v>
      </c>
      <c r="P78" s="51" t="str">
        <f>IF('Experimental Procedure'!$F$96=0,"NaN",L78/'Experimental Procedure'!$F$96*100)</f>
        <v>NaN</v>
      </c>
      <c r="Q78" s="109" t="str">
        <f>IF('Experimental Procedure'!$H$96=0,"NaN",'Zed Mini'!M78/'Experimental Procedure'!$H$96*100)</f>
        <v>NaN</v>
      </c>
    </row>
    <row r="79" spans="4:17" x14ac:dyDescent="0.25">
      <c r="D79" s="73"/>
      <c r="E79" s="9" t="s">
        <v>135</v>
      </c>
      <c r="F79" s="19">
        <v>1.6110040000000001</v>
      </c>
      <c r="G79" s="49">
        <v>349.38679999999999</v>
      </c>
      <c r="H79" s="87"/>
      <c r="I79" s="90"/>
      <c r="J79" s="19">
        <f>'Zed Mini'!F79-'Experimental Procedure'!$C$97</f>
        <v>0.21100400000000019</v>
      </c>
      <c r="K79" s="87"/>
      <c r="L79" s="49">
        <f>IF('Zed Mini'!G79-'Experimental Procedure'!$D$97&lt;-180,'Zed Mini'!G79-'Experimental Procedure'!$D$97 + 360,IF('Zed Mini'!G79-'Experimental Procedure'!$D$97&gt;180,'Zed Mini'!G79-'Experimental Procedure'!$D$97 - 360,'Zed Mini'!G79-'Experimental Procedure'!$D$97))</f>
        <v>-10.613200000000006</v>
      </c>
      <c r="M79" s="90"/>
      <c r="N79" s="52" t="str">
        <f>IF('Experimental Procedure'!$E$97=0,"NaN",J79/'Experimental Procedure'!$E$97*100)</f>
        <v>NaN</v>
      </c>
      <c r="O79" s="93"/>
      <c r="P79" s="52" t="str">
        <f>IF('Experimental Procedure'!$F$97=0,"NaN",L79/'Experimental Procedure'!$F$97*100)</f>
        <v>NaN</v>
      </c>
      <c r="Q79" s="110"/>
    </row>
    <row r="80" spans="4:17" ht="15.75" thickBot="1" x14ac:dyDescent="0.3">
      <c r="D80" s="74"/>
      <c r="E80" s="10" t="s">
        <v>136</v>
      </c>
      <c r="F80" s="21">
        <v>3.2932380000000001</v>
      </c>
      <c r="G80" s="50">
        <v>1.1385749999999999</v>
      </c>
      <c r="H80" s="88"/>
      <c r="I80" s="91"/>
      <c r="J80" s="21">
        <f>'Zed Mini'!F80-'Experimental Procedure'!$C$98</f>
        <v>-0.70676199999999989</v>
      </c>
      <c r="K80" s="88"/>
      <c r="L80" s="50">
        <f>IF('Zed Mini'!G80-'Experimental Procedure'!$D$98&lt;-180,'Zed Mini'!G80-'Experimental Procedure'!$D$98 + 360,IF('Zed Mini'!G80-'Experimental Procedure'!$D$98&gt;180,'Zed Mini'!G80-'Experimental Procedure'!$D$98 - 360,'Zed Mini'!G80-'Experimental Procedure'!$D$98))</f>
        <v>1.1385749999999999</v>
      </c>
      <c r="M80" s="91"/>
      <c r="N80" s="53" t="str">
        <f>IF('Experimental Procedure'!$E$98=0,"NaN",J80/'Experimental Procedure'!$E$98*100)</f>
        <v>NaN</v>
      </c>
      <c r="O80" s="94"/>
      <c r="P80" s="53" t="str">
        <f>IF('Experimental Procedure'!$F$98=0,"NaN",L80/'Experimental Procedure'!$F$98*100)</f>
        <v>NaN</v>
      </c>
      <c r="Q80" s="111"/>
    </row>
    <row r="81" spans="4:17" x14ac:dyDescent="0.25">
      <c r="D81" s="72" t="s">
        <v>190</v>
      </c>
      <c r="E81" s="9" t="s">
        <v>134</v>
      </c>
      <c r="F81" s="17">
        <v>0.93221240000000005</v>
      </c>
      <c r="G81" s="48">
        <v>355.7321</v>
      </c>
      <c r="H81" s="86">
        <f>SQRT((F78-F81)^2+(F79-F82)^2+(F80-F83)^2)</f>
        <v>3.984488879091677</v>
      </c>
      <c r="I81" s="89">
        <v>1.500967001111174</v>
      </c>
      <c r="J81" s="17">
        <f>'Zed Mini'!F81-'Experimental Procedure'!$C$99</f>
        <v>0.93221240000000005</v>
      </c>
      <c r="K81" s="86">
        <f t="shared" ref="K81" si="16">SQRT(J81^2+J82^2+J83^2)</f>
        <v>1.1672074354431607</v>
      </c>
      <c r="L81" s="48">
        <f>IF('Zed Mini'!G81-'Experimental Procedure'!$D$99&lt;-180,'Zed Mini'!G81-'Experimental Procedure'!$D$99 + 360,IF('Zed Mini'!G81-'Experimental Procedure'!$D$99&gt;180,'Zed Mini'!G81-'Experimental Procedure'!$D$99 - 360,'Zed Mini'!G81-'Experimental Procedure'!$D$99))</f>
        <v>-4.2678999999999974</v>
      </c>
      <c r="M81" s="89">
        <v>10.288482795056153</v>
      </c>
      <c r="N81" s="51" t="str">
        <f>IF('Experimental Procedure'!$E$99=0,"NaN",J81/'Experimental Procedure'!$E$99*100)</f>
        <v>NaN</v>
      </c>
      <c r="O81" s="92">
        <f>IF('Experimental Procedure'!$G$99=0,"NaN",'Zed Mini'!K81/'Experimental Procedure'!$G$99*100)</f>
        <v>29.18018588607902</v>
      </c>
      <c r="P81" s="51" t="str">
        <f>IF('Experimental Procedure'!$F$99=0,"NaN",L81/'Experimental Procedure'!$F$99*100)</f>
        <v>NaN</v>
      </c>
      <c r="Q81" s="109" t="str">
        <f>IF('Experimental Procedure'!$H$99=0,"NaN",'Zed Mini'!M81/'Experimental Procedure'!$H$99*100)</f>
        <v>NaN</v>
      </c>
    </row>
    <row r="82" spans="4:17" x14ac:dyDescent="0.25">
      <c r="D82" s="73"/>
      <c r="E82" s="9" t="s">
        <v>135</v>
      </c>
      <c r="F82" s="19">
        <v>1.6240159999999999</v>
      </c>
      <c r="G82" s="49">
        <v>350.62979999999999</v>
      </c>
      <c r="H82" s="87"/>
      <c r="I82" s="90"/>
      <c r="J82" s="19">
        <f>'Zed Mini'!F82-'Experimental Procedure'!$C$100</f>
        <v>0.22401599999999999</v>
      </c>
      <c r="K82" s="87"/>
      <c r="L82" s="49">
        <f>IF('Zed Mini'!G82-'Experimental Procedure'!$D$100&lt;-180,'Zed Mini'!G82-'Experimental Procedure'!$D$100 + 360,IF('Zed Mini'!G82-'Experimental Procedure'!$D$100&gt;180,'Zed Mini'!G82-'Experimental Procedure'!$D$100 - 360,'Zed Mini'!G82-'Experimental Procedure'!$D$100))</f>
        <v>-9.3702000000000112</v>
      </c>
      <c r="M82" s="90"/>
      <c r="N82" s="52" t="str">
        <f>IF('Experimental Procedure'!$E$100=0,"NaN",J82/'Experimental Procedure'!$E$100*100)</f>
        <v>NaN</v>
      </c>
      <c r="O82" s="93"/>
      <c r="P82" s="52" t="str">
        <f>IF('Experimental Procedure'!$F$100=0,"NaN",L82/'Experimental Procedure'!$F$100*100)</f>
        <v>NaN</v>
      </c>
      <c r="Q82" s="110"/>
    </row>
    <row r="83" spans="4:17" ht="15.75" thickBot="1" x14ac:dyDescent="0.3">
      <c r="D83" s="74"/>
      <c r="E83" s="10" t="s">
        <v>136</v>
      </c>
      <c r="F83" s="21">
        <v>-0.66571020000000003</v>
      </c>
      <c r="G83" s="50">
        <v>0.3499312</v>
      </c>
      <c r="H83" s="88"/>
      <c r="I83" s="91"/>
      <c r="J83" s="21">
        <f>'Zed Mini'!F83-'Experimental Procedure'!$C$101</f>
        <v>-0.66571020000000003</v>
      </c>
      <c r="K83" s="88"/>
      <c r="L83" s="50">
        <f>IF('Zed Mini'!G83-'Experimental Procedure'!$D$101&lt;-180,'Zed Mini'!G83-'Experimental Procedure'!$D$101 + 360,IF('Zed Mini'!G83-'Experimental Procedure'!$D$101&gt;180,'Zed Mini'!G83-'Experimental Procedure'!$D$101 - 360,'Zed Mini'!G83-'Experimental Procedure'!$D$101))</f>
        <v>0.3499312</v>
      </c>
      <c r="M83" s="91"/>
      <c r="N83" s="53">
        <f>IF('Experimental Procedure'!$E$101=0,"NaN",J83/'Experimental Procedure'!$E$101*100)</f>
        <v>-16.642755000000001</v>
      </c>
      <c r="O83" s="94"/>
      <c r="P83" s="53" t="str">
        <f>IF('Experimental Procedure'!$F$101=0,"NaN",L83/'Experimental Procedure'!$F$101*100)</f>
        <v>NaN</v>
      </c>
      <c r="Q83" s="111"/>
    </row>
    <row r="84" spans="4:17" x14ac:dyDescent="0.25">
      <c r="D84" s="72" t="s">
        <v>180</v>
      </c>
      <c r="E84" s="8" t="s">
        <v>134</v>
      </c>
      <c r="F84" s="17">
        <v>4.2874280000000002</v>
      </c>
      <c r="G84" s="48">
        <v>359.2303</v>
      </c>
      <c r="H84" s="86">
        <f>SQRT((F81-F84)^2+(F82-F85)^2+(F83-F86)^2)</f>
        <v>3.3877888052141993</v>
      </c>
      <c r="I84" s="89">
        <v>6.2013583003843289</v>
      </c>
      <c r="J84" s="17">
        <f>'Zed Mini'!F84-'Experimental Procedure'!$C$102</f>
        <v>-1.7125719999999998</v>
      </c>
      <c r="K84" s="86">
        <f t="shared" ref="K84" si="17">SQRT(J84^2+J85^2+J86^2)</f>
        <v>1.72953631007396</v>
      </c>
      <c r="L84" s="48">
        <f>IF('Zed Mini'!G84-'Experimental Procedure'!$D$102&lt;-180,'Zed Mini'!G84-'Experimental Procedure'!$D$102 + 360,IF('Zed Mini'!G84-'Experimental Procedure'!$D$102&gt;180,'Zed Mini'!G84-'Experimental Procedure'!$D$102 - 360,'Zed Mini'!G84-'Experimental Procedure'!$D$102))</f>
        <v>-0.76970000000000027</v>
      </c>
      <c r="M84" s="89">
        <v>4.397877769831565</v>
      </c>
      <c r="N84" s="51">
        <f>IF('Experimental Procedure'!$E$102=0,"NaN",J84/'Experimental Procedure'!$E$102*100)</f>
        <v>-28.542866666666662</v>
      </c>
      <c r="O84" s="92">
        <f>IF('Experimental Procedure'!$G$102=0,"NaN",'Zed Mini'!K84/'Experimental Procedure'!$G$102*100)</f>
        <v>28.825605167899333</v>
      </c>
      <c r="P84" s="51" t="str">
        <f>IF('Experimental Procedure'!$F$102=0,"NaN",L84/'Experimental Procedure'!$F$102*100)</f>
        <v>NaN</v>
      </c>
      <c r="Q84" s="109" t="str">
        <f>IF('Experimental Procedure'!$H$102=0,"NaN",'Zed Mini'!M84/'Experimental Procedure'!$H$102*100)</f>
        <v>NaN</v>
      </c>
    </row>
    <row r="85" spans="4:17" x14ac:dyDescent="0.25">
      <c r="D85" s="73"/>
      <c r="E85" s="9" t="s">
        <v>135</v>
      </c>
      <c r="F85" s="19">
        <v>1.522818</v>
      </c>
      <c r="G85" s="49">
        <v>355.72309999999999</v>
      </c>
      <c r="H85" s="87"/>
      <c r="I85" s="90"/>
      <c r="J85" s="19">
        <f>'Zed Mini'!F85-'Experimental Procedure'!$C$103</f>
        <v>0.12281800000000009</v>
      </c>
      <c r="K85" s="87"/>
      <c r="L85" s="49">
        <f>IF('Zed Mini'!G85-'Experimental Procedure'!$D$103&lt;-180,'Zed Mini'!G85-'Experimental Procedure'!$D$103 + 360,IF('Zed Mini'!G85-'Experimental Procedure'!$D$103&gt;180,'Zed Mini'!G85-'Experimental Procedure'!$D$103 - 360,'Zed Mini'!G85-'Experimental Procedure'!$D$103))</f>
        <v>-4.2769000000000119</v>
      </c>
      <c r="M85" s="90"/>
      <c r="N85" s="52" t="str">
        <f>IF('Experimental Procedure'!$E$103=0,"NaN",J85/'Experimental Procedure'!$E$103*100)</f>
        <v>NaN</v>
      </c>
      <c r="O85" s="93"/>
      <c r="P85" s="52" t="str">
        <f>IF('Experimental Procedure'!$F$103=0,"NaN",L85/'Experimental Procedure'!$F$103*100)</f>
        <v>NaN</v>
      </c>
      <c r="Q85" s="110"/>
    </row>
    <row r="86" spans="4:17" ht="15.75" thickBot="1" x14ac:dyDescent="0.3">
      <c r="D86" s="74"/>
      <c r="E86" s="10" t="s">
        <v>136</v>
      </c>
      <c r="F86" s="21">
        <v>-0.2081075</v>
      </c>
      <c r="G86" s="50">
        <v>0.70574769999999998</v>
      </c>
      <c r="H86" s="88"/>
      <c r="I86" s="91"/>
      <c r="J86" s="21">
        <f>'Zed Mini'!F86-'Experimental Procedure'!$C$104</f>
        <v>-0.2081075</v>
      </c>
      <c r="K86" s="88"/>
      <c r="L86" s="50">
        <f>IF('Zed Mini'!G86-'Experimental Procedure'!$D$104&lt;-180,'Zed Mini'!G86-'Experimental Procedure'!$D$104 + 360,IF('Zed Mini'!G86-'Experimental Procedure'!$D$104&gt;180,'Zed Mini'!G86-'Experimental Procedure'!$D$104 - 360,'Zed Mini'!G86-'Experimental Procedure'!$D$104))</f>
        <v>0.70574769999999998</v>
      </c>
      <c r="M86" s="91"/>
      <c r="N86" s="53" t="str">
        <f>IF('Experimental Procedure'!$E$104=0,"NaN",J86/'Experimental Procedure'!$E$104*100)</f>
        <v>NaN</v>
      </c>
      <c r="O86" s="94"/>
      <c r="P86" s="53" t="str">
        <f>IF('Experimental Procedure'!$F$104=0,"NaN",L86/'Experimental Procedure'!$F$104*100)</f>
        <v>NaN</v>
      </c>
      <c r="Q86" s="111"/>
    </row>
    <row r="87" spans="4:17" ht="15.75" thickBot="1" x14ac:dyDescent="0.3">
      <c r="D87" s="15" t="s">
        <v>173</v>
      </c>
      <c r="E87" s="15"/>
      <c r="F87" s="15"/>
    </row>
    <row r="88" spans="4:17" ht="15.75" thickBot="1" x14ac:dyDescent="0.3">
      <c r="D88" s="75" t="s">
        <v>163</v>
      </c>
      <c r="E88" s="76"/>
      <c r="F88" s="16" t="s">
        <v>137</v>
      </c>
      <c r="G88" s="23" t="s">
        <v>197</v>
      </c>
      <c r="H88" s="16" t="s">
        <v>178</v>
      </c>
      <c r="I88" s="16" t="s">
        <v>179</v>
      </c>
      <c r="J88" s="16" t="s">
        <v>143</v>
      </c>
      <c r="K88" s="34" t="s">
        <v>168</v>
      </c>
      <c r="L88" s="23" t="s">
        <v>144</v>
      </c>
      <c r="M88" s="12" t="s">
        <v>167</v>
      </c>
      <c r="N88" s="16" t="s">
        <v>141</v>
      </c>
      <c r="O88" s="16" t="s">
        <v>171</v>
      </c>
      <c r="P88" s="23" t="s">
        <v>142</v>
      </c>
      <c r="Q88" s="23" t="s">
        <v>172</v>
      </c>
    </row>
    <row r="89" spans="4:17" x14ac:dyDescent="0.25">
      <c r="D89" s="72" t="s">
        <v>180</v>
      </c>
      <c r="E89" s="35" t="s">
        <v>134</v>
      </c>
      <c r="F89" s="18">
        <f>AVERAGE(F38,F55,F72)</f>
        <v>5.9990176666666661</v>
      </c>
      <c r="G89" s="48">
        <f>AVERAGE(IF(G38&gt;180,G38-360,IF(G38&lt;-180,G38+360,G38)),IF(G55&gt;180,G55-360,IF(G55&lt;-180,G55+360,G55)),IF(G72&gt;180,G72-360,IF(G72&lt;-180,G72+360,G72)))</f>
        <v>4.9565596666666671</v>
      </c>
      <c r="H89" s="86">
        <v>0</v>
      </c>
      <c r="I89" s="89">
        <f>(I38+I55+I72)/3</f>
        <v>0</v>
      </c>
      <c r="J89" s="37">
        <f>'Zed Mini'!F89-'Experimental Procedure'!$C$90</f>
        <v>-9.8233333333386241E-4</v>
      </c>
      <c r="K89" s="95">
        <f>SQRT(J89^2+J90^2+J91^2)</f>
        <v>7.3017222038566391E-3</v>
      </c>
      <c r="L89" s="48">
        <f>IF('Zed Mini'!G89-'Experimental Procedure'!$D$90&lt;-180,'Zed Mini'!G89-'Experimental Procedure'!$D$90 + 360,IF('Zed Mini'!G89-'Experimental Procedure'!$D$90&gt;180,'Zed Mini'!G89-'Experimental Procedure'!$D$90 - 360,'Zed Mini'!G89-'Experimental Procedure'!$D$90))</f>
        <v>4.9565596666666671</v>
      </c>
      <c r="M89" s="106">
        <f>(M38+M55+M72)/3</f>
        <v>6.0050295850580078</v>
      </c>
      <c r="N89" s="51" t="str">
        <f>IF('Experimental Procedure'!$E$90=0,"NaN",J89/'Experimental Procedure'!$E$90*100)</f>
        <v>NaN</v>
      </c>
      <c r="O89" s="92" t="str">
        <f>IF('Experimental Procedure'!$G$90=0,"NaN",'Zed Mini'!K89/'Experimental Procedure'!$G$90*100)</f>
        <v>NaN</v>
      </c>
      <c r="P89" s="51" t="str">
        <f>IF('Experimental Procedure'!$F$90=0,"NaN",L89/'Experimental Procedure'!$F$90*100)</f>
        <v>NaN</v>
      </c>
      <c r="Q89" s="109" t="str">
        <f>IF('Experimental Procedure'!$H$90=0,"NaN",'Zed Mini'!M89/'Experimental Procedure'!$H$90*100)</f>
        <v>NaN</v>
      </c>
    </row>
    <row r="90" spans="4:17" x14ac:dyDescent="0.25">
      <c r="D90" s="73"/>
      <c r="E90" s="35" t="s">
        <v>135</v>
      </c>
      <c r="F90" s="20">
        <f t="shared" ref="F90:F103" si="18">AVERAGE(F39,F56,F73)</f>
        <v>1.4016766666666667</v>
      </c>
      <c r="G90" s="49">
        <f t="shared" ref="G90:G103" si="19">AVERAGE(IF(G39&gt;180,G39-360,IF(G39&lt;-180,G39+360,G39)),IF(G56&gt;180,G56-360,IF(G56&lt;-180,G56+360,G56)),IF(G73&gt;180,G73-360,IF(G73&lt;-180,G73+360,G73)))</f>
        <v>-0.19223169999999964</v>
      </c>
      <c r="H90" s="87"/>
      <c r="I90" s="90"/>
      <c r="J90" s="38">
        <f>'Zed Mini'!F90-'Experimental Procedure'!$C$91</f>
        <v>1.6766666666667707E-3</v>
      </c>
      <c r="K90" s="96"/>
      <c r="L90" s="49">
        <f>IF('Zed Mini'!G90-'Experimental Procedure'!$D$91&lt;-180,'Zed Mini'!G90-'Experimental Procedure'!$D$91 + 360,IF('Zed Mini'!G90-'Experimental Procedure'!$D$91&gt;180,'Zed Mini'!G90-'Experimental Procedure'!$D$91 - 360,'Zed Mini'!G90-'Experimental Procedure'!$D$91))</f>
        <v>-0.19223169999999964</v>
      </c>
      <c r="M90" s="107"/>
      <c r="N90" s="52" t="str">
        <f>IF('Experimental Procedure'!$E$91=0,"NaN",J90/'Experimental Procedure'!$E$91*100)</f>
        <v>NaN</v>
      </c>
      <c r="O90" s="93"/>
      <c r="P90" s="52" t="str">
        <f>IF('Experimental Procedure'!$F$91=0,"NaN",L90/'Experimental Procedure'!$F$91*100)</f>
        <v>NaN</v>
      </c>
      <c r="Q90" s="110"/>
    </row>
    <row r="91" spans="4:17" ht="15.75" thickBot="1" x14ac:dyDescent="0.3">
      <c r="D91" s="74"/>
      <c r="E91" s="36" t="s">
        <v>136</v>
      </c>
      <c r="F91" s="22">
        <f t="shared" si="18"/>
        <v>-7.0383916666666669E-3</v>
      </c>
      <c r="G91" s="50">
        <f t="shared" si="19"/>
        <v>1.4742273333333251</v>
      </c>
      <c r="H91" s="88"/>
      <c r="I91" s="91"/>
      <c r="J91" s="39">
        <f>'Zed Mini'!F91-'Experimental Procedure'!$C$92</f>
        <v>-7.0383916666666669E-3</v>
      </c>
      <c r="K91" s="97"/>
      <c r="L91" s="50">
        <f>IF('Zed Mini'!G91-'Experimental Procedure'!$D$92&lt;-180,'Zed Mini'!G91-'Experimental Procedure'!$D$92 + 360,IF('Zed Mini'!G91-'Experimental Procedure'!$D$92&gt;180,'Zed Mini'!G91-'Experimental Procedure'!$D$92 - 360,'Zed Mini'!G91-'Experimental Procedure'!$D$92))</f>
        <v>1.4742273333333251</v>
      </c>
      <c r="M91" s="108"/>
      <c r="N91" s="53" t="str">
        <f>IF('Experimental Procedure'!$E$92=0,"NaN",J91/'Experimental Procedure'!$E$92*100)</f>
        <v>NaN</v>
      </c>
      <c r="O91" s="94"/>
      <c r="P91" s="53" t="str">
        <f>IF('Experimental Procedure'!$F$92=0,"NaN",L91/'Experimental Procedure'!$F$92*100)</f>
        <v>NaN</v>
      </c>
      <c r="Q91" s="111"/>
    </row>
    <row r="92" spans="4:17" x14ac:dyDescent="0.25">
      <c r="D92" s="72" t="s">
        <v>189</v>
      </c>
      <c r="E92" s="8" t="s">
        <v>134</v>
      </c>
      <c r="F92" s="17">
        <f t="shared" si="18"/>
        <v>5.8322426666666667</v>
      </c>
      <c r="G92" s="48">
        <f t="shared" si="19"/>
        <v>-0.38016399999999706</v>
      </c>
      <c r="H92" s="86">
        <f>SQRT((F89-F92)^2+(F90-F93)^2+(F91-F94)^2)</f>
        <v>3.9766837137449866</v>
      </c>
      <c r="I92" s="89">
        <f t="shared" ref="I92" si="20">(I41+I58+I75)/3</f>
        <v>7.7593795629425601</v>
      </c>
      <c r="J92" s="17">
        <f>'Zed Mini'!F92-'Experimental Procedure'!$C$93</f>
        <v>-0.16775733333333331</v>
      </c>
      <c r="K92" s="86">
        <f t="shared" ref="K92" si="21">SQRT(J92^2+J93^2+J94^2)</f>
        <v>0.19463255438475177</v>
      </c>
      <c r="L92" s="48">
        <f>IF('Zed Mini'!G92-'Experimental Procedure'!$D$93&lt;-180,'Zed Mini'!G92-'Experimental Procedure'!$D$93 + 360,IF('Zed Mini'!G92-'Experimental Procedure'!$D$93&gt;180,'Zed Mini'!G92-'Experimental Procedure'!$D$93 - 360,'Zed Mini'!G92-'Experimental Procedure'!$D$93))</f>
        <v>-0.38016399999999706</v>
      </c>
      <c r="M92" s="106">
        <f t="shared" ref="M92" si="22">(M41+M58+M75)/3</f>
        <v>6.3943944303042706</v>
      </c>
      <c r="N92" s="51" t="str">
        <f>IF('Experimental Procedure'!$E$93=0,"NaN",J92/'Experimental Procedure'!$E$93*100)</f>
        <v>NaN</v>
      </c>
      <c r="O92" s="92">
        <f>IF('Experimental Procedure'!$G$93=0,"NaN",'Zed Mini'!K92/'Experimental Procedure'!$G$93*100)</f>
        <v>4.8658138596187941</v>
      </c>
      <c r="P92" s="51" t="str">
        <f>IF('Experimental Procedure'!$F$93=0,"NaN",L92/'Experimental Procedure'!$F$93*100)</f>
        <v>NaN</v>
      </c>
      <c r="Q92" s="109" t="str">
        <f>IF('Experimental Procedure'!$H$93=0,"NaN",'Zed Mini'!M92/'Experimental Procedure'!$H$93*100)</f>
        <v>NaN</v>
      </c>
    </row>
    <row r="93" spans="4:17" x14ac:dyDescent="0.25">
      <c r="D93" s="73"/>
      <c r="E93" s="9" t="s">
        <v>135</v>
      </c>
      <c r="F93" s="19">
        <f t="shared" si="18"/>
        <v>1.4923156666666666</v>
      </c>
      <c r="G93" s="49">
        <f t="shared" si="19"/>
        <v>-1.7287463333333324</v>
      </c>
      <c r="H93" s="87"/>
      <c r="I93" s="90"/>
      <c r="J93" s="19">
        <f>'Zed Mini'!F93-'Experimental Procedure'!$C$94</f>
        <v>9.2315666666666685E-2</v>
      </c>
      <c r="K93" s="87"/>
      <c r="L93" s="49">
        <f>IF('Zed Mini'!G93-'Experimental Procedure'!$D$94&lt;-180,'Zed Mini'!G93-'Experimental Procedure'!$D$94 + 360,IF('Zed Mini'!G93-'Experimental Procedure'!$D$94&gt;180,'Zed Mini'!G93-'Experimental Procedure'!$D$94 - 360,'Zed Mini'!G93-'Experimental Procedure'!$D$94))</f>
        <v>-1.7287463333333324</v>
      </c>
      <c r="M93" s="107"/>
      <c r="N93" s="52" t="str">
        <f>IF('Experimental Procedure'!$E$94=0,"NaN",J93/'Experimental Procedure'!$E$94*100)</f>
        <v>NaN</v>
      </c>
      <c r="O93" s="93"/>
      <c r="P93" s="52" t="str">
        <f>IF('Experimental Procedure'!$F$94=0,"NaN",L93/'Experimental Procedure'!$F$94*100)</f>
        <v>NaN</v>
      </c>
      <c r="Q93" s="110"/>
    </row>
    <row r="94" spans="4:17" ht="15.75" thickBot="1" x14ac:dyDescent="0.3">
      <c r="D94" s="74"/>
      <c r="E94" s="10" t="s">
        <v>136</v>
      </c>
      <c r="F94" s="21">
        <f t="shared" si="18"/>
        <v>3.9651126666666663</v>
      </c>
      <c r="G94" s="50">
        <f t="shared" si="19"/>
        <v>4.5001856666666669</v>
      </c>
      <c r="H94" s="88"/>
      <c r="I94" s="91"/>
      <c r="J94" s="21">
        <f>'Zed Mini'!F94-'Experimental Procedure'!$C$95</f>
        <v>-3.4887333333333714E-2</v>
      </c>
      <c r="K94" s="88"/>
      <c r="L94" s="50">
        <f>IF('Zed Mini'!G94-'Experimental Procedure'!$D$95&lt;-180,'Zed Mini'!G94-'Experimental Procedure'!$D$95 + 360,IF('Zed Mini'!G94-'Experimental Procedure'!$D$95&gt;180,'Zed Mini'!G94-'Experimental Procedure'!$D$95 - 360,'Zed Mini'!G94-'Experimental Procedure'!$D$95))</f>
        <v>4.5001856666666669</v>
      </c>
      <c r="M94" s="108"/>
      <c r="N94" s="53">
        <f>IF('Experimental Procedure'!$E$95=0,"NaN",J94/'Experimental Procedure'!$E$95*100)</f>
        <v>-0.87218333333334286</v>
      </c>
      <c r="O94" s="94"/>
      <c r="P94" s="53" t="str">
        <f>IF('Experimental Procedure'!$F$95=0,"NaN",L94/'Experimental Procedure'!$F$95*100)</f>
        <v>NaN</v>
      </c>
      <c r="Q94" s="111"/>
    </row>
    <row r="95" spans="4:17" x14ac:dyDescent="0.25">
      <c r="D95" s="72" t="s">
        <v>188</v>
      </c>
      <c r="E95" s="8" t="s">
        <v>134</v>
      </c>
      <c r="F95" s="17">
        <f t="shared" si="18"/>
        <v>0.44434503333333336</v>
      </c>
      <c r="G95" s="48">
        <f t="shared" si="19"/>
        <v>-0.58880046666666053</v>
      </c>
      <c r="H95" s="86">
        <f>SQRT((F92-F95)^2+(F93-F96)^2+(F94-F97)^2)</f>
        <v>5.422030041057484</v>
      </c>
      <c r="I95" s="89">
        <f t="shared" ref="I95" si="23">(I44+I61+I78)/3</f>
        <v>8.0594987936437494</v>
      </c>
      <c r="J95" s="17">
        <f>'Zed Mini'!F95-'Experimental Procedure'!$C$96</f>
        <v>0.44434503333333336</v>
      </c>
      <c r="K95" s="86">
        <f t="shared" ref="K95" si="24">SQRT(J95^2+J96^2+J97^2)</f>
        <v>0.80379535064433272</v>
      </c>
      <c r="L95" s="48">
        <f>IF('Zed Mini'!G95-'Experimental Procedure'!$D$96&lt;-180,'Zed Mini'!G95-'Experimental Procedure'!$D$96 + 360,IF('Zed Mini'!G95-'Experimental Procedure'!$D$96&gt;180,'Zed Mini'!G95-'Experimental Procedure'!$D$96 - 360,'Zed Mini'!G95-'Experimental Procedure'!$D$96))</f>
        <v>-0.58880046666666053</v>
      </c>
      <c r="M95" s="106">
        <f t="shared" ref="M95" si="25">(M44+M61+M78)/3</f>
        <v>10.512974074913288</v>
      </c>
      <c r="N95" s="51">
        <f>IF('Experimental Procedure'!$E$96=0,"NaN",J95/'Experimental Procedure'!$E$96*100)</f>
        <v>7.4057505555555556</v>
      </c>
      <c r="O95" s="92">
        <f>IF('Experimental Procedure'!$G$96=0,"NaN",'Zed Mini'!K95/'Experimental Procedure'!$G$96*100)</f>
        <v>13.396589177405547</v>
      </c>
      <c r="P95" s="51" t="str">
        <f>IF('Experimental Procedure'!$F$96=0,"NaN",L95/'Experimental Procedure'!$F$96*100)</f>
        <v>NaN</v>
      </c>
      <c r="Q95" s="109" t="str">
        <f>IF('Experimental Procedure'!$H$96=0,"NaN",'Zed Mini'!M95/'Experimental Procedure'!$H$96*100)</f>
        <v>NaN</v>
      </c>
    </row>
    <row r="96" spans="4:17" x14ac:dyDescent="0.25">
      <c r="D96" s="73"/>
      <c r="E96" s="9" t="s">
        <v>135</v>
      </c>
      <c r="F96" s="19">
        <f t="shared" si="18"/>
        <v>1.6493533333333332</v>
      </c>
      <c r="G96" s="49">
        <f t="shared" si="19"/>
        <v>-9.332033333333337</v>
      </c>
      <c r="H96" s="87"/>
      <c r="I96" s="90"/>
      <c r="J96" s="19">
        <f>'Zed Mini'!F96-'Experimental Procedure'!$C$97</f>
        <v>0.24935333333333332</v>
      </c>
      <c r="K96" s="87"/>
      <c r="L96" s="49">
        <f>IF('Zed Mini'!G96-'Experimental Procedure'!$D$97&lt;-180,'Zed Mini'!G96-'Experimental Procedure'!$D$97 + 360,IF('Zed Mini'!G96-'Experimental Procedure'!$D$97&gt;180,'Zed Mini'!G96-'Experimental Procedure'!$D$97 - 360,'Zed Mini'!G96-'Experimental Procedure'!$D$97))</f>
        <v>-9.332033333333337</v>
      </c>
      <c r="M96" s="107"/>
      <c r="N96" s="52" t="str">
        <f>IF('Experimental Procedure'!$E$97=0,"NaN",J96/'Experimental Procedure'!$E$97*100)</f>
        <v>NaN</v>
      </c>
      <c r="O96" s="93"/>
      <c r="P96" s="52" t="str">
        <f>IF('Experimental Procedure'!$F$97=0,"NaN",L96/'Experimental Procedure'!$F$97*100)</f>
        <v>NaN</v>
      </c>
      <c r="Q96" s="110"/>
    </row>
    <row r="97" spans="4:17" ht="15.75" thickBot="1" x14ac:dyDescent="0.3">
      <c r="D97" s="74"/>
      <c r="E97" s="10" t="s">
        <v>136</v>
      </c>
      <c r="F97" s="21">
        <f t="shared" si="18"/>
        <v>3.3783349999999999</v>
      </c>
      <c r="G97" s="50">
        <f t="shared" si="19"/>
        <v>2.99377</v>
      </c>
      <c r="H97" s="88"/>
      <c r="I97" s="91"/>
      <c r="J97" s="21">
        <f>'Zed Mini'!F97-'Experimental Procedure'!$C$98</f>
        <v>-0.62166500000000013</v>
      </c>
      <c r="K97" s="88"/>
      <c r="L97" s="50">
        <f>IF('Zed Mini'!G97-'Experimental Procedure'!$D$98&lt;-180,'Zed Mini'!G97-'Experimental Procedure'!$D$98 + 360,IF('Zed Mini'!G97-'Experimental Procedure'!$D$98&gt;180,'Zed Mini'!G97-'Experimental Procedure'!$D$98 - 360,'Zed Mini'!G97-'Experimental Procedure'!$D$98))</f>
        <v>2.99377</v>
      </c>
      <c r="M97" s="108"/>
      <c r="N97" s="53" t="str">
        <f>IF('Experimental Procedure'!$E$98=0,"NaN",J97/'Experimental Procedure'!$E$98*100)</f>
        <v>NaN</v>
      </c>
      <c r="O97" s="94"/>
      <c r="P97" s="53" t="str">
        <f>IF('Experimental Procedure'!$F$98=0,"NaN",L97/'Experimental Procedure'!$F$98*100)</f>
        <v>NaN</v>
      </c>
      <c r="Q97" s="111"/>
    </row>
    <row r="98" spans="4:17" x14ac:dyDescent="0.25">
      <c r="D98" s="72" t="s">
        <v>190</v>
      </c>
      <c r="E98" s="9" t="s">
        <v>134</v>
      </c>
      <c r="F98" s="17">
        <f t="shared" si="18"/>
        <v>0.88050636666666671</v>
      </c>
      <c r="G98" s="48">
        <f t="shared" si="19"/>
        <v>-3.4753999999999983</v>
      </c>
      <c r="H98" s="86">
        <f>SQRT((F95-F98)^2+(F96-F99)^2+(F97-F100)^2)</f>
        <v>4.0726417937824797</v>
      </c>
      <c r="I98" s="89">
        <f t="shared" ref="I98" si="26">(I47+I64+I81)/3</f>
        <v>4.0158449353505405</v>
      </c>
      <c r="J98" s="17">
        <f>'Zed Mini'!F98-'Experimental Procedure'!$C$99</f>
        <v>0.88050636666666671</v>
      </c>
      <c r="K98" s="86">
        <f t="shared" ref="K98" si="27">SQRT(J98^2+J99^2+J100^2)</f>
        <v>1.1260169110558476</v>
      </c>
      <c r="L98" s="48">
        <f>IF('Zed Mini'!G98-'Experimental Procedure'!$D$99&lt;-180,'Zed Mini'!G98-'Experimental Procedure'!$D$99 + 360,IF('Zed Mini'!G98-'Experimental Procedure'!$D$99&gt;180,'Zed Mini'!G98-'Experimental Procedure'!$D$99 - 360,'Zed Mini'!G98-'Experimental Procedure'!$D$99))</f>
        <v>-3.4753999999999983</v>
      </c>
      <c r="M98" s="106">
        <f t="shared" ref="M98" si="28">(M47+M64+M81)/3</f>
        <v>11.792909961774027</v>
      </c>
      <c r="N98" s="51" t="str">
        <f>IF('Experimental Procedure'!$E$99=0,"NaN",J98/'Experimental Procedure'!$E$99*100)</f>
        <v>NaN</v>
      </c>
      <c r="O98" s="92">
        <f>IF('Experimental Procedure'!$G$99=0,"NaN",'Zed Mini'!K98/'Experimental Procedure'!$G$99*100)</f>
        <v>28.150422776396191</v>
      </c>
      <c r="P98" s="51" t="str">
        <f>IF('Experimental Procedure'!$F$99=0,"NaN",L98/'Experimental Procedure'!$F$99*100)</f>
        <v>NaN</v>
      </c>
      <c r="Q98" s="109" t="str">
        <f>IF('Experimental Procedure'!$H$99=0,"NaN",'Zed Mini'!M98/'Experimental Procedure'!$H$99*100)</f>
        <v>NaN</v>
      </c>
    </row>
    <row r="99" spans="4:17" x14ac:dyDescent="0.25">
      <c r="D99" s="73"/>
      <c r="E99" s="9" t="s">
        <v>135</v>
      </c>
      <c r="F99" s="19">
        <f t="shared" si="18"/>
        <v>1.6069659999999999</v>
      </c>
      <c r="G99" s="49">
        <f t="shared" si="19"/>
        <v>-10.512133333333338</v>
      </c>
      <c r="H99" s="87"/>
      <c r="I99" s="90"/>
      <c r="J99" s="19">
        <f>'Zed Mini'!F99-'Experimental Procedure'!$C$100</f>
        <v>0.20696599999999998</v>
      </c>
      <c r="K99" s="87"/>
      <c r="L99" s="49">
        <f>IF('Zed Mini'!G99-'Experimental Procedure'!$D$100&lt;-180,'Zed Mini'!G99-'Experimental Procedure'!$D$100 + 360,IF('Zed Mini'!G99-'Experimental Procedure'!$D$100&gt;180,'Zed Mini'!G99-'Experimental Procedure'!$D$100 - 360,'Zed Mini'!G99-'Experimental Procedure'!$D$100))</f>
        <v>-10.512133333333338</v>
      </c>
      <c r="M99" s="107"/>
      <c r="N99" s="52" t="str">
        <f>IF('Experimental Procedure'!$E$100=0,"NaN",J99/'Experimental Procedure'!$E$100*100)</f>
        <v>NaN</v>
      </c>
      <c r="O99" s="93"/>
      <c r="P99" s="52" t="str">
        <f>IF('Experimental Procedure'!$F$100=0,"NaN",L99/'Experimental Procedure'!$F$100*100)</f>
        <v>NaN</v>
      </c>
      <c r="Q99" s="110"/>
    </row>
    <row r="100" spans="4:17" ht="15.75" thickBot="1" x14ac:dyDescent="0.3">
      <c r="D100" s="74"/>
      <c r="E100" s="10" t="s">
        <v>136</v>
      </c>
      <c r="F100" s="21">
        <f t="shared" si="18"/>
        <v>-0.67066213333333335</v>
      </c>
      <c r="G100" s="50">
        <f t="shared" si="19"/>
        <v>2.4181384000000001</v>
      </c>
      <c r="H100" s="88"/>
      <c r="I100" s="91"/>
      <c r="J100" s="21">
        <f>'Zed Mini'!F100-'Experimental Procedure'!$C$101</f>
        <v>-0.67066213333333335</v>
      </c>
      <c r="K100" s="88"/>
      <c r="L100" s="50">
        <f>IF('Zed Mini'!G100-'Experimental Procedure'!$D$101&lt;-180,'Zed Mini'!G100-'Experimental Procedure'!$D$101 + 360,IF('Zed Mini'!G100-'Experimental Procedure'!$D$101&gt;180,'Zed Mini'!G100-'Experimental Procedure'!$D$101 - 360,'Zed Mini'!G100-'Experimental Procedure'!$D$101))</f>
        <v>2.4181384000000001</v>
      </c>
      <c r="M100" s="108"/>
      <c r="N100" s="53">
        <f>IF('Experimental Procedure'!$E$101=0,"NaN",J100/'Experimental Procedure'!$E$101*100)</f>
        <v>-16.766553333333334</v>
      </c>
      <c r="O100" s="94"/>
      <c r="P100" s="53" t="str">
        <f>IF('Experimental Procedure'!$F$101=0,"NaN",L100/'Experimental Procedure'!$F$101*100)</f>
        <v>NaN</v>
      </c>
      <c r="Q100" s="111"/>
    </row>
    <row r="101" spans="4:17" x14ac:dyDescent="0.25">
      <c r="D101" s="72" t="s">
        <v>180</v>
      </c>
      <c r="E101" s="8" t="s">
        <v>134</v>
      </c>
      <c r="F101" s="17">
        <f t="shared" si="18"/>
        <v>4.152101</v>
      </c>
      <c r="G101" s="48">
        <f t="shared" si="19"/>
        <v>5.4697000000001848E-2</v>
      </c>
      <c r="H101" s="86">
        <f>SQRT((F98-F101)^2+(F99-F102)^2+(F100-F103)^2)</f>
        <v>3.3184723227345558</v>
      </c>
      <c r="I101" s="89">
        <f t="shared" ref="I101" si="29">(I50+I67+I84)/3</f>
        <v>7.1931652526154357</v>
      </c>
      <c r="J101" s="17">
        <f>'Zed Mini'!F101-'Experimental Procedure'!$C$102</f>
        <v>-1.847899</v>
      </c>
      <c r="K101" s="86">
        <f t="shared" ref="K101" si="30">SQRT(J101^2+J102^2+J103^2)</f>
        <v>1.855625584342103</v>
      </c>
      <c r="L101" s="48">
        <f>IF('Zed Mini'!G101-'Experimental Procedure'!$D$102&lt;-180,'Zed Mini'!G101-'Experimental Procedure'!$D$102 + 360,IF('Zed Mini'!G101-'Experimental Procedure'!$D$102&gt;180,'Zed Mini'!G101-'Experimental Procedure'!$D$102 - 360,'Zed Mini'!G101-'Experimental Procedure'!$D$102))</f>
        <v>5.4697000000001848E-2</v>
      </c>
      <c r="M101" s="106">
        <f t="shared" ref="M101" si="31">(M50+M67+M84)/3</f>
        <v>5.3801565537320286</v>
      </c>
      <c r="N101" s="51">
        <f>IF('Experimental Procedure'!$E$102=0,"NaN",J101/'Experimental Procedure'!$E$102*100)</f>
        <v>-30.798316666666665</v>
      </c>
      <c r="O101" s="92">
        <f>IF('Experimental Procedure'!$G$102=0,"NaN",'Zed Mini'!K101/'Experimental Procedure'!$G$102*100)</f>
        <v>30.927093072368383</v>
      </c>
      <c r="P101" s="51" t="str">
        <f>IF('Experimental Procedure'!$F$102=0,"NaN",L101/'Experimental Procedure'!$F$102*100)</f>
        <v>NaN</v>
      </c>
      <c r="Q101" s="109" t="str">
        <f>IF('Experimental Procedure'!$H$102=0,"NaN",'Zed Mini'!M101/'Experimental Procedure'!$H$102*100)</f>
        <v>NaN</v>
      </c>
    </row>
    <row r="102" spans="4:17" x14ac:dyDescent="0.25">
      <c r="D102" s="73"/>
      <c r="E102" s="9" t="s">
        <v>135</v>
      </c>
      <c r="F102" s="19">
        <f t="shared" si="18"/>
        <v>1.5169936666666668</v>
      </c>
      <c r="G102" s="49">
        <f t="shared" si="19"/>
        <v>-4.4898666666666713</v>
      </c>
      <c r="H102" s="87"/>
      <c r="I102" s="90"/>
      <c r="J102" s="19">
        <f>'Zed Mini'!F102-'Experimental Procedure'!$C$103</f>
        <v>0.11699366666666688</v>
      </c>
      <c r="K102" s="87"/>
      <c r="L102" s="49">
        <f>IF('Zed Mini'!G102-'Experimental Procedure'!$D$103&lt;-180,'Zed Mini'!G102-'Experimental Procedure'!$D$103 + 360,IF('Zed Mini'!G102-'Experimental Procedure'!$D$103&gt;180,'Zed Mini'!G102-'Experimental Procedure'!$D$103 - 360,'Zed Mini'!G102-'Experimental Procedure'!$D$103))</f>
        <v>-4.4898666666666713</v>
      </c>
      <c r="M102" s="107"/>
      <c r="N102" s="52" t="str">
        <f>IF('Experimental Procedure'!$E$103=0,"NaN",J102/'Experimental Procedure'!$E$103*100)</f>
        <v>NaN</v>
      </c>
      <c r="O102" s="93"/>
      <c r="P102" s="52" t="str">
        <f>IF('Experimental Procedure'!$F$103=0,"NaN",L102/'Experimental Procedure'!$F$103*100)</f>
        <v>NaN</v>
      </c>
      <c r="Q102" s="110"/>
    </row>
    <row r="103" spans="4:17" ht="15.75" thickBot="1" x14ac:dyDescent="0.3">
      <c r="D103" s="74"/>
      <c r="E103" s="10" t="s">
        <v>136</v>
      </c>
      <c r="F103" s="21">
        <f t="shared" si="18"/>
        <v>-0.12218051000000001</v>
      </c>
      <c r="G103" s="50">
        <f t="shared" si="19"/>
        <v>2.1526598999999997</v>
      </c>
      <c r="H103" s="88"/>
      <c r="I103" s="91"/>
      <c r="J103" s="21">
        <f>'Zed Mini'!F103-'Experimental Procedure'!$C$104</f>
        <v>-0.12218051000000001</v>
      </c>
      <c r="K103" s="88"/>
      <c r="L103" s="50">
        <f>IF('Zed Mini'!G103-'Experimental Procedure'!$D$104&lt;-180,'Zed Mini'!G103-'Experimental Procedure'!$D$104 + 360,IF('Zed Mini'!G103-'Experimental Procedure'!$D$104&gt;180,'Zed Mini'!G103-'Experimental Procedure'!$D$104 - 360,'Zed Mini'!G103-'Experimental Procedure'!$D$104))</f>
        <v>2.1526598999999997</v>
      </c>
      <c r="M103" s="108"/>
      <c r="N103" s="53" t="str">
        <f>IF('Experimental Procedure'!$E$104=0,"NaN",J103/'Experimental Procedure'!$E$104*100)</f>
        <v>NaN</v>
      </c>
      <c r="O103" s="94"/>
      <c r="P103" s="53" t="str">
        <f>IF('Experimental Procedure'!$F$104=0,"NaN",L103/'Experimental Procedure'!$F$104*100)</f>
        <v>NaN</v>
      </c>
      <c r="Q103" s="111"/>
    </row>
    <row r="104" spans="4:17" x14ac:dyDescent="0.25">
      <c r="D104" s="28" t="s">
        <v>174</v>
      </c>
      <c r="E104" s="28"/>
      <c r="F104" s="28"/>
    </row>
    <row r="105" spans="4:17" ht="15.75" thickBot="1" x14ac:dyDescent="0.3">
      <c r="D105" s="29" t="s">
        <v>133</v>
      </c>
      <c r="E105" s="29"/>
      <c r="F105" s="29"/>
    </row>
    <row r="106" spans="4:17" ht="15.75" thickBot="1" x14ac:dyDescent="0.3">
      <c r="D106" s="75" t="s">
        <v>177</v>
      </c>
      <c r="E106" s="76"/>
      <c r="F106" s="16" t="s">
        <v>137</v>
      </c>
      <c r="G106" s="23" t="s">
        <v>197</v>
      </c>
      <c r="H106" s="16" t="s">
        <v>178</v>
      </c>
      <c r="I106" s="16" t="s">
        <v>179</v>
      </c>
      <c r="J106" s="16" t="s">
        <v>143</v>
      </c>
      <c r="K106" s="34" t="s">
        <v>168</v>
      </c>
      <c r="L106" s="23" t="s">
        <v>144</v>
      </c>
      <c r="M106" s="12" t="s">
        <v>167</v>
      </c>
      <c r="N106" s="16" t="s">
        <v>141</v>
      </c>
      <c r="O106" s="16" t="s">
        <v>171</v>
      </c>
      <c r="P106" s="23" t="s">
        <v>142</v>
      </c>
      <c r="Q106" s="23" t="s">
        <v>172</v>
      </c>
    </row>
    <row r="107" spans="4:17" x14ac:dyDescent="0.25">
      <c r="D107" s="72" t="s">
        <v>180</v>
      </c>
      <c r="E107" s="35" t="s">
        <v>134</v>
      </c>
      <c r="F107" s="18">
        <v>6.0077199999999999</v>
      </c>
      <c r="G107" s="45">
        <v>5.900855</v>
      </c>
      <c r="H107" s="86">
        <v>0</v>
      </c>
      <c r="I107" s="89">
        <v>0</v>
      </c>
      <c r="J107" s="17">
        <f>'Zed Mini'!F107-'Experimental Procedure'!$C$107</f>
        <v>7.7199999999999491E-3</v>
      </c>
      <c r="K107" s="95">
        <f>SQRT(J107^2+J108^2+J109^2)</f>
        <v>1.7979212612906591E-2</v>
      </c>
      <c r="L107" s="48">
        <f>IF('Zed Mini'!G107-'Experimental Procedure'!$D$107&lt;-180,'Zed Mini'!G107-'Experimental Procedure'!$D$107 + 360,IF('Zed Mini'!G107-'Experimental Procedure'!$D$107&gt;180,'Zed Mini'!G107-'Experimental Procedure'!$D$107 - 360,'Zed Mini'!G107-'Experimental Procedure'!$D$107))</f>
        <v>5.900855</v>
      </c>
      <c r="M107" s="106">
        <v>6.9961933013295745</v>
      </c>
      <c r="N107" s="51" t="str">
        <f>IF('Experimental Procedure'!$E$107=0,"NaN",J107/'Experimental Procedure'!$E$107*100)</f>
        <v>NaN</v>
      </c>
      <c r="O107" s="92" t="str">
        <f>IF('Experimental Procedure'!$G$107=0,"NaN",'Zed Mini'!K107/'Experimental Procedure'!$G$107*100)</f>
        <v>NaN</v>
      </c>
      <c r="P107" s="51" t="str">
        <f>IF('Experimental Procedure'!$F$107=0,"NaN",L107/'Experimental Procedure'!$F$107*100)</f>
        <v>NaN</v>
      </c>
      <c r="Q107" s="109" t="str">
        <f>IF('Experimental Procedure'!$H$107=0,"NaN",'Zed Mini'!M107/'Experimental Procedure'!$H$107*100)</f>
        <v>NaN</v>
      </c>
    </row>
    <row r="108" spans="4:17" x14ac:dyDescent="0.25">
      <c r="D108" s="73"/>
      <c r="E108" s="35" t="s">
        <v>135</v>
      </c>
      <c r="F108" s="20">
        <v>1.401227</v>
      </c>
      <c r="G108" s="46">
        <v>0.81064639999999999</v>
      </c>
      <c r="H108" s="87"/>
      <c r="I108" s="90"/>
      <c r="J108" s="19">
        <f>'Zed Mini'!F108-'Experimental Procedure'!$C$108</f>
        <v>1.2270000000000891E-3</v>
      </c>
      <c r="K108" s="96"/>
      <c r="L108" s="49">
        <f>IF('Zed Mini'!G108-'Experimental Procedure'!$D$108&lt;-180,'Zed Mini'!G108-'Experimental Procedure'!$D$108 + 360,IF('Zed Mini'!G108-'Experimental Procedure'!$D$108&gt;180,'Zed Mini'!G108-'Experimental Procedure'!$D$108 - 360,'Zed Mini'!G108-'Experimental Procedure'!$D$108))</f>
        <v>0.81064639999999999</v>
      </c>
      <c r="M108" s="107"/>
      <c r="N108" s="52" t="str">
        <f>IF('Experimental Procedure'!$E$108=0,"NaN",J108/'Experimental Procedure'!$E$108*100)</f>
        <v>NaN</v>
      </c>
      <c r="O108" s="93"/>
      <c r="P108" s="52" t="str">
        <f>IF('Experimental Procedure'!$F$108=0,"NaN",L108/'Experimental Procedure'!$F$108*100)</f>
        <v>NaN</v>
      </c>
      <c r="Q108" s="110"/>
    </row>
    <row r="109" spans="4:17" ht="15.75" thickBot="1" x14ac:dyDescent="0.3">
      <c r="D109" s="74"/>
      <c r="E109" s="36" t="s">
        <v>136</v>
      </c>
      <c r="F109" s="22">
        <v>-1.6190989999999999E-2</v>
      </c>
      <c r="G109" s="47">
        <v>3.713832</v>
      </c>
      <c r="H109" s="88"/>
      <c r="I109" s="91"/>
      <c r="J109" s="21">
        <f>'Zed Mini'!F109-'Experimental Procedure'!$C$109</f>
        <v>-1.6190989999999999E-2</v>
      </c>
      <c r="K109" s="97"/>
      <c r="L109" s="50">
        <f>IF('Zed Mini'!G109-'Experimental Procedure'!$D$109&lt;-180,'Zed Mini'!G109-'Experimental Procedure'!$D$109 + 360,IF('Zed Mini'!G109-'Experimental Procedure'!$D$109&gt;180,'Zed Mini'!G109-'Experimental Procedure'!$D$109 - 360,'Zed Mini'!G109-'Experimental Procedure'!$D$109))</f>
        <v>3.713832</v>
      </c>
      <c r="M109" s="108"/>
      <c r="N109" s="53" t="str">
        <f>IF('Experimental Procedure'!$E$109=0,"NaN",J109/'Experimental Procedure'!$E$109*100)</f>
        <v>NaN</v>
      </c>
      <c r="O109" s="94"/>
      <c r="P109" s="53" t="str">
        <f>IF('Experimental Procedure'!$F$109=0,"NaN",L109/'Experimental Procedure'!$F$109*100)</f>
        <v>NaN</v>
      </c>
      <c r="Q109" s="111"/>
    </row>
    <row r="110" spans="4:17" x14ac:dyDescent="0.25">
      <c r="D110" s="72" t="s">
        <v>189</v>
      </c>
      <c r="E110" s="8" t="s">
        <v>134</v>
      </c>
      <c r="F110" s="17">
        <v>5.9310169999999998</v>
      </c>
      <c r="G110" s="48">
        <v>0.25799139999999998</v>
      </c>
      <c r="H110" s="86">
        <f>SQRT((F107-F110)^2+(F108-F111)^2+(F109-F112)^2)</f>
        <v>3.9905637836808374</v>
      </c>
      <c r="I110" s="89">
        <v>5.9920549144954869</v>
      </c>
      <c r="J110" s="17">
        <f>'Zed Mini'!F110-'Experimental Procedure'!$C$110</f>
        <v>-6.8983000000000239E-2</v>
      </c>
      <c r="K110" s="86">
        <f t="shared" ref="K110" si="32">SQRT(J110^2+J111^2+J112^2)</f>
        <v>0.11820305388186905</v>
      </c>
      <c r="L110" s="48">
        <f>IF('Zed Mini'!G110-'Experimental Procedure'!$D$110&lt;-180,'Zed Mini'!G110-'Experimental Procedure'!$D$110 + 360,IF('Zed Mini'!G110-'Experimental Procedure'!$D$110&gt;180,'Zed Mini'!G110-'Experimental Procedure'!$D$110 - 360,'Zed Mini'!G110-'Experimental Procedure'!$D$110))</f>
        <v>0.25799139999999998</v>
      </c>
      <c r="M110" s="89">
        <v>5.8465863929072572</v>
      </c>
      <c r="N110" s="51" t="str">
        <f>IF('Experimental Procedure'!$E$110=0,"NaN",J110/'Experimental Procedure'!$E$110*100)</f>
        <v>NaN</v>
      </c>
      <c r="O110" s="92">
        <f>IF('Experimental Procedure'!$G$110=0,"NaN",'Zed Mini'!K110/'Experimental Procedure'!$G$110*100)</f>
        <v>2.9550763470467265</v>
      </c>
      <c r="P110" s="51" t="str">
        <f>IF('Experimental Procedure'!$F$110=0,"NaN",L110/'Experimental Procedure'!$F$110*100)</f>
        <v>NaN</v>
      </c>
      <c r="Q110" s="109" t="str">
        <f>IF('Experimental Procedure'!$H$110=0,"NaN",'Zed Mini'!M110/'Experimental Procedure'!$H$110*100)</f>
        <v>NaN</v>
      </c>
    </row>
    <row r="111" spans="4:17" x14ac:dyDescent="0.25">
      <c r="D111" s="73"/>
      <c r="E111" s="9" t="s">
        <v>135</v>
      </c>
      <c r="F111" s="19">
        <v>1.4919929999999999</v>
      </c>
      <c r="G111" s="49">
        <v>1.3401970000000001</v>
      </c>
      <c r="H111" s="87"/>
      <c r="I111" s="90"/>
      <c r="J111" s="19">
        <f>'Zed Mini'!F111-'Experimental Procedure'!$C$111</f>
        <v>9.1992999999999991E-2</v>
      </c>
      <c r="K111" s="87"/>
      <c r="L111" s="49">
        <f>IF('Zed Mini'!G111-'Experimental Procedure'!$D$111&lt;-180,'Zed Mini'!G111-'Experimental Procedure'!$D$111 + 360,IF('Zed Mini'!G111-'Experimental Procedure'!$D$111&gt;180,'Zed Mini'!G111-'Experimental Procedure'!$D$111 - 360,'Zed Mini'!G111-'Experimental Procedure'!$D$111))</f>
        <v>1.3401970000000001</v>
      </c>
      <c r="M111" s="90"/>
      <c r="N111" s="52" t="str">
        <f>IF('Experimental Procedure'!$E$111=0,"NaN",J111/'Experimental Procedure'!$E$111*100)</f>
        <v>NaN</v>
      </c>
      <c r="O111" s="93"/>
      <c r="P111" s="52" t="str">
        <f>IF('Experimental Procedure'!$F$111=0,"NaN",L111/'Experimental Procedure'!$F$111*100)</f>
        <v>NaN</v>
      </c>
      <c r="Q111" s="110"/>
    </row>
    <row r="112" spans="4:17" ht="15.75" thickBot="1" x14ac:dyDescent="0.3">
      <c r="D112" s="74"/>
      <c r="E112" s="10" t="s">
        <v>136</v>
      </c>
      <c r="F112" s="21">
        <v>3.9726029999999999</v>
      </c>
      <c r="G112" s="50">
        <v>5.6882109999999999</v>
      </c>
      <c r="H112" s="88"/>
      <c r="I112" s="91"/>
      <c r="J112" s="21">
        <f>'Zed Mini'!F112-'Experimental Procedure'!$C$112</f>
        <v>-2.7397000000000116E-2</v>
      </c>
      <c r="K112" s="88"/>
      <c r="L112" s="50">
        <f>IF('Zed Mini'!G112-'Experimental Procedure'!$D$112&lt;-180,'Zed Mini'!G112-'Experimental Procedure'!$D$112 + 360,IF('Zed Mini'!G112-'Experimental Procedure'!$D$112&gt;180,'Zed Mini'!G112-'Experimental Procedure'!$D$112 - 360,'Zed Mini'!G112-'Experimental Procedure'!$D$112))</f>
        <v>5.6882109999999999</v>
      </c>
      <c r="M112" s="91"/>
      <c r="N112" s="53">
        <f>IF('Experimental Procedure'!$E$112=0,"NaN",J112/'Experimental Procedure'!$E$112*100)</f>
        <v>-0.68492500000000289</v>
      </c>
      <c r="O112" s="94"/>
      <c r="P112" s="53" t="str">
        <f>IF('Experimental Procedure'!$F$112=0,"NaN",L112/'Experimental Procedure'!$F$112*100)</f>
        <v>NaN</v>
      </c>
      <c r="Q112" s="111"/>
    </row>
    <row r="113" spans="4:17" x14ac:dyDescent="0.25">
      <c r="D113" s="72" t="s">
        <v>191</v>
      </c>
      <c r="E113" s="8" t="s">
        <v>134</v>
      </c>
      <c r="F113" s="17">
        <v>5.7937909999999997</v>
      </c>
      <c r="G113" s="48">
        <v>3.7861229999999999</v>
      </c>
      <c r="H113" s="86">
        <f>SQRT((F110-F113)^2+(F111-F114)^2+(F112-F115)^2)</f>
        <v>0.26779931352787273</v>
      </c>
      <c r="I113" s="89">
        <v>90.499409327212675</v>
      </c>
      <c r="J113" s="17">
        <f>'Zed Mini'!F113-'Experimental Procedure'!$C$113</f>
        <v>-0.20620900000000031</v>
      </c>
      <c r="K113" s="86">
        <f t="shared" ref="K113" si="33">SQRT(J113^2+J114^2+J115^2)</f>
        <v>0.3379254756022399</v>
      </c>
      <c r="L113" s="48">
        <f>IF('Zed Mini'!G113-'Experimental Procedure'!$D$113&lt;-180,'Zed Mini'!G113-'Experimental Procedure'!$D$113 + 360,IF('Zed Mini'!G113-'Experimental Procedure'!$D$113&gt;180,'Zed Mini'!G113-'Experimental Procedure'!$D$113 - 360,'Zed Mini'!G113-'Experimental Procedure'!$D$113))</f>
        <v>3.7861229999999999</v>
      </c>
      <c r="M113" s="89">
        <v>8.7855602454649695</v>
      </c>
      <c r="N113" s="51" t="str">
        <f>IF('Experimental Procedure'!$E$113=0,"NaN",J113/'Experimental Procedure'!$E$113*100)</f>
        <v>NaN</v>
      </c>
      <c r="O113" s="92" t="str">
        <f>IF('Experimental Procedure'!$G$113=0,"NaN",'Zed Mini'!K113/'Experimental Procedure'!$G$113*100)</f>
        <v>NaN</v>
      </c>
      <c r="P113" s="51" t="str">
        <f>IF('Experimental Procedure'!$F$113=0,"NaN",L113/'Experimental Procedure'!$F$113*100)</f>
        <v>NaN</v>
      </c>
      <c r="Q113" s="109">
        <f>IF('Experimental Procedure'!$H$113=0,"NaN",'Zed Mini'!M113/'Experimental Procedure'!$H$113*100)</f>
        <v>9.7617336060721893</v>
      </c>
    </row>
    <row r="114" spans="4:17" x14ac:dyDescent="0.25">
      <c r="D114" s="73"/>
      <c r="E114" s="9" t="s">
        <v>135</v>
      </c>
      <c r="F114" s="19">
        <v>1.475706</v>
      </c>
      <c r="G114" s="49">
        <v>270.9939</v>
      </c>
      <c r="H114" s="87"/>
      <c r="I114" s="90"/>
      <c r="J114" s="19">
        <f>'Zed Mini'!F114-'Experimental Procedure'!$C$114</f>
        <v>7.5706000000000051E-2</v>
      </c>
      <c r="K114" s="87"/>
      <c r="L114" s="49">
        <f>IF('Zed Mini'!G114-'Experimental Procedure'!$D$114&lt;-180,'Zed Mini'!G114-'Experimental Procedure'!$D$114 + 360,IF('Zed Mini'!G114-'Experimental Procedure'!$D$114&gt;180,'Zed Mini'!G114-'Experimental Procedure'!$D$114 - 360,'Zed Mini'!G114-'Experimental Procedure'!$D$114))</f>
        <v>0.99389999999999645</v>
      </c>
      <c r="M114" s="90"/>
      <c r="N114" s="52" t="str">
        <f>IF('Experimental Procedure'!$E$114=0,"NaN",J114/'Experimental Procedure'!$E$114*100)</f>
        <v>NaN</v>
      </c>
      <c r="O114" s="93"/>
      <c r="P114" s="52">
        <f>IF('Experimental Procedure'!$F$114=0,"NaN",L114/'Experimental Procedure'!$F$114*100)</f>
        <v>1.1043333333333294</v>
      </c>
      <c r="Q114" s="110"/>
    </row>
    <row r="115" spans="4:17" ht="15.75" thickBot="1" x14ac:dyDescent="0.3">
      <c r="D115" s="74"/>
      <c r="E115" s="10" t="s">
        <v>136</v>
      </c>
      <c r="F115" s="21">
        <v>3.7432120000000002</v>
      </c>
      <c r="G115" s="50">
        <v>7.8998090000000003</v>
      </c>
      <c r="H115" s="88"/>
      <c r="I115" s="91"/>
      <c r="J115" s="21">
        <f>'Zed Mini'!F115-'Experimental Procedure'!$C$115</f>
        <v>-0.25678799999999979</v>
      </c>
      <c r="K115" s="88"/>
      <c r="L115" s="50">
        <f>IF('Zed Mini'!G115-'Experimental Procedure'!$D$115&lt;-180,'Zed Mini'!G115-'Experimental Procedure'!$D$115 + 360,IF('Zed Mini'!G115-'Experimental Procedure'!$D$115&gt;180,'Zed Mini'!G115-'Experimental Procedure'!$D$115 - 360,'Zed Mini'!G115-'Experimental Procedure'!$D$115))</f>
        <v>7.8998090000000003</v>
      </c>
      <c r="M115" s="91"/>
      <c r="N115" s="53" t="str">
        <f>IF('Experimental Procedure'!$E$115=0,"NaN",J115/'Experimental Procedure'!$E$115*100)</f>
        <v>NaN</v>
      </c>
      <c r="O115" s="94"/>
      <c r="P115" s="53" t="str">
        <f>IF('Experimental Procedure'!$F$115=0,"NaN",L115/'Experimental Procedure'!$F$115*100)</f>
        <v>NaN</v>
      </c>
      <c r="Q115" s="111"/>
    </row>
    <row r="116" spans="4:17" x14ac:dyDescent="0.25">
      <c r="D116" s="72" t="s">
        <v>188</v>
      </c>
      <c r="E116" s="9" t="s">
        <v>134</v>
      </c>
      <c r="F116" s="17">
        <v>1.4209350000000001</v>
      </c>
      <c r="G116" s="48">
        <v>0.28998570000000001</v>
      </c>
      <c r="H116" s="86">
        <f>SQRT((F113-F116)^2+(F114-F117)^2+(F115-F118)^2)</f>
        <v>4.3975385564754284</v>
      </c>
      <c r="I116" s="89">
        <v>5.7377759312213543</v>
      </c>
      <c r="J116" s="17">
        <f>'Zed Mini'!F116-'Experimental Procedure'!$C$116</f>
        <v>1.4209350000000001</v>
      </c>
      <c r="K116" s="86">
        <f t="shared" ref="K116" si="34">SQRT(J116^2+J117^2+J118^2)</f>
        <v>1.5819804122342982</v>
      </c>
      <c r="L116" s="48">
        <f>IF('Zed Mini'!G116-'Experimental Procedure'!$D$116&lt;-180,'Zed Mini'!G116-'Experimental Procedure'!$D$116 + 360,IF('Zed Mini'!G116-'Experimental Procedure'!$D$116&gt;180,'Zed Mini'!G116-'Experimental Procedure'!$D$116 - 360,'Zed Mini'!G116-'Experimental Procedure'!$D$116))</f>
        <v>0.28998570000000001</v>
      </c>
      <c r="M116" s="89">
        <v>5.6570160760647576</v>
      </c>
      <c r="N116" s="51">
        <f>IF('Experimental Procedure'!$E$116=0,"NaN",J116/'Experimental Procedure'!$E$116*100)</f>
        <v>23.682250000000003</v>
      </c>
      <c r="O116" s="92">
        <f>IF('Experimental Procedure'!$G$116=0,"NaN",'Zed Mini'!K116/'Experimental Procedure'!$G$116*100)</f>
        <v>26.366340203904969</v>
      </c>
      <c r="P116" s="51" t="str">
        <f>IF('Experimental Procedure'!$F$116=0,"NaN",L116/'Experimental Procedure'!$F$116*100)</f>
        <v>NaN</v>
      </c>
      <c r="Q116" s="109" t="str">
        <f>IF('Experimental Procedure'!$H$116=0,"NaN",'Zed Mini'!M116/'Experimental Procedure'!$H$116*100)</f>
        <v>NaN</v>
      </c>
    </row>
    <row r="117" spans="4:17" x14ac:dyDescent="0.25">
      <c r="D117" s="73"/>
      <c r="E117" s="9" t="s">
        <v>135</v>
      </c>
      <c r="F117" s="19">
        <v>1.8556319999999999</v>
      </c>
      <c r="G117" s="49">
        <v>267.38200000000001</v>
      </c>
      <c r="H117" s="87"/>
      <c r="I117" s="90"/>
      <c r="J117" s="19">
        <f>'Zed Mini'!F117-'Experimental Procedure'!$C$117</f>
        <v>0.45563200000000004</v>
      </c>
      <c r="K117" s="87"/>
      <c r="L117" s="49">
        <f>IF('Zed Mini'!G117-'Experimental Procedure'!$D$117&lt;-180,'Zed Mini'!G117-'Experimental Procedure'!$D$117 + 360,IF('Zed Mini'!G117-'Experimental Procedure'!$D$117&gt;180,'Zed Mini'!G117-'Experimental Procedure'!$D$117 - 360,'Zed Mini'!G117-'Experimental Procedure'!$D$117))</f>
        <v>-2.617999999999995</v>
      </c>
      <c r="M117" s="90"/>
      <c r="N117" s="52" t="str">
        <f>IF('Experimental Procedure'!$E$117=0,"NaN",J117/'Experimental Procedure'!$E$117*100)</f>
        <v>NaN</v>
      </c>
      <c r="O117" s="93"/>
      <c r="P117" s="52" t="str">
        <f>IF('Experimental Procedure'!$F$117=0,"NaN",L117/'Experimental Procedure'!$F$117*100)</f>
        <v>NaN</v>
      </c>
      <c r="Q117" s="110"/>
    </row>
    <row r="118" spans="4:17" ht="15.75" thickBot="1" x14ac:dyDescent="0.3">
      <c r="D118" s="74"/>
      <c r="E118" s="10" t="s">
        <v>136</v>
      </c>
      <c r="F118" s="21">
        <v>3.4746380000000001</v>
      </c>
      <c r="G118" s="50">
        <v>5.0001980000000001</v>
      </c>
      <c r="H118" s="88"/>
      <c r="I118" s="91"/>
      <c r="J118" s="21">
        <f>'Zed Mini'!F118-'Experimental Procedure'!$C$118</f>
        <v>-0.52536199999999988</v>
      </c>
      <c r="K118" s="88"/>
      <c r="L118" s="50">
        <f>IF('Zed Mini'!G118-'Experimental Procedure'!$D$118&lt;-180,'Zed Mini'!G118-'Experimental Procedure'!$D$118 + 360,IF('Zed Mini'!G118-'Experimental Procedure'!$D$118&gt;180,'Zed Mini'!G118-'Experimental Procedure'!$D$118 - 360,'Zed Mini'!G118-'Experimental Procedure'!$D$118))</f>
        <v>5.0001980000000001</v>
      </c>
      <c r="M118" s="91"/>
      <c r="N118" s="53" t="str">
        <f>IF('Experimental Procedure'!$E$118=0,"NaN",J118/'Experimental Procedure'!$E$118*100)</f>
        <v>NaN</v>
      </c>
      <c r="O118" s="94"/>
      <c r="P118" s="53" t="str">
        <f>IF('Experimental Procedure'!$F$118=0,"NaN",L118/'Experimental Procedure'!$F$118*100)</f>
        <v>NaN</v>
      </c>
      <c r="Q118" s="111"/>
    </row>
    <row r="119" spans="4:17" x14ac:dyDescent="0.25">
      <c r="D119" s="72" t="s">
        <v>191</v>
      </c>
      <c r="E119" s="8" t="s">
        <v>134</v>
      </c>
      <c r="F119" s="17">
        <v>1.5514810000000001</v>
      </c>
      <c r="G119" s="48">
        <v>1.529347</v>
      </c>
      <c r="H119" s="86">
        <f>SQRT((F116-F119)^2+(F117-F120)^2+(F118-F121)^2)</f>
        <v>0.14073863397802333</v>
      </c>
      <c r="I119" s="89">
        <v>90.621768592622203</v>
      </c>
      <c r="J119" s="17">
        <f>'Zed Mini'!F119-'Experimental Procedure'!$C$119</f>
        <v>1.5514810000000001</v>
      </c>
      <c r="K119" s="86">
        <f t="shared" ref="K119" si="35">SQRT(J119^2+J120^2+J121^2)</f>
        <v>1.71804019318612</v>
      </c>
      <c r="L119" s="48">
        <f>IF('Zed Mini'!G119-'Experimental Procedure'!$D$119&lt;-180,'Zed Mini'!G119-'Experimental Procedure'!$D$119 + 360,IF('Zed Mini'!G119-'Experimental Procedure'!$D$119&gt;180,'Zed Mini'!G119-'Experimental Procedure'!$D$119 - 360,'Zed Mini'!G119-'Experimental Procedure'!$D$119))</f>
        <v>1.529347</v>
      </c>
      <c r="M119" s="89">
        <v>6.9396733631116181</v>
      </c>
      <c r="N119" s="51" t="str">
        <f>IF('Experimental Procedure'!$E$119=0,"NaN",J119/'Experimental Procedure'!$E$119*100)</f>
        <v>NaN</v>
      </c>
      <c r="O119" s="92" t="str">
        <f>IF('Experimental Procedure'!$G$119=0,"NaN",'Zed Mini'!K119/'Experimental Procedure'!$G$119*100)</f>
        <v>NaN</v>
      </c>
      <c r="P119" s="51" t="str">
        <f>IF('Experimental Procedure'!$F$119=0,"NaN",L119/'Experimental Procedure'!$F$119*100)</f>
        <v>NaN</v>
      </c>
      <c r="Q119" s="109">
        <f>IF('Experimental Procedure'!$H$119=0,"NaN",'Zed Mini'!M119/'Experimental Procedure'!$H$119*100)</f>
        <v>7.7107481812351333</v>
      </c>
    </row>
    <row r="120" spans="4:17" x14ac:dyDescent="0.25">
      <c r="D120" s="73"/>
      <c r="E120" s="9" t="s">
        <v>135</v>
      </c>
      <c r="F120" s="19">
        <v>1.858989</v>
      </c>
      <c r="G120" s="49">
        <v>176.785</v>
      </c>
      <c r="H120" s="87"/>
      <c r="I120" s="90"/>
      <c r="J120" s="19">
        <f>'Zed Mini'!F120-'Experimental Procedure'!$C$120</f>
        <v>0.45898900000000009</v>
      </c>
      <c r="K120" s="87"/>
      <c r="L120" s="49">
        <f>IF('Zed Mini'!G120-'Experimental Procedure'!$D$120&lt;-180,'Zed Mini'!G120-'Experimental Procedure'!$D$120 + 360,IF('Zed Mini'!G120-'Experimental Procedure'!$D$120&gt;180,'Zed Mini'!G120-'Experimental Procedure'!$D$120 - 360,'Zed Mini'!G120-'Experimental Procedure'!$D$120))</f>
        <v>-3.2150000000000034</v>
      </c>
      <c r="M120" s="90"/>
      <c r="N120" s="52" t="str">
        <f>IF('Experimental Procedure'!$E$120=0,"NaN",J120/'Experimental Procedure'!$E$120*100)</f>
        <v>NaN</v>
      </c>
      <c r="O120" s="93"/>
      <c r="P120" s="52">
        <f>IF('Experimental Procedure'!$F$120=0,"NaN",L120/'Experimental Procedure'!$F$120*100)</f>
        <v>-3.572222222222226</v>
      </c>
      <c r="Q120" s="110"/>
    </row>
    <row r="121" spans="4:17" ht="15.75" thickBot="1" x14ac:dyDescent="0.3">
      <c r="D121" s="74"/>
      <c r="E121" s="10" t="s">
        <v>136</v>
      </c>
      <c r="F121" s="21">
        <v>3.422161</v>
      </c>
      <c r="G121" s="50">
        <v>5.9150830000000001</v>
      </c>
      <c r="H121" s="88"/>
      <c r="I121" s="91"/>
      <c r="J121" s="21">
        <f>'Zed Mini'!F121-'Experimental Procedure'!$C$121</f>
        <v>-0.57783899999999999</v>
      </c>
      <c r="K121" s="88"/>
      <c r="L121" s="50">
        <f>IF('Zed Mini'!G121-'Experimental Procedure'!$D$121&lt;-180,'Zed Mini'!G121-'Experimental Procedure'!$D$121 + 360,IF('Zed Mini'!G121-'Experimental Procedure'!$D$121&gt;180,'Zed Mini'!G121-'Experimental Procedure'!$D$121 - 360,'Zed Mini'!G121-'Experimental Procedure'!$D$121))</f>
        <v>5.9150830000000001</v>
      </c>
      <c r="M121" s="91"/>
      <c r="N121" s="53" t="str">
        <f>IF('Experimental Procedure'!$E$121=0,"NaN",J121/'Experimental Procedure'!$E$121*100)</f>
        <v>NaN</v>
      </c>
      <c r="O121" s="94"/>
      <c r="P121" s="53" t="str">
        <f>IF('Experimental Procedure'!$F$121=0,"NaN",L121/'Experimental Procedure'!$F$121*100)</f>
        <v>NaN</v>
      </c>
      <c r="Q121" s="111"/>
    </row>
    <row r="122" spans="4:17" x14ac:dyDescent="0.25">
      <c r="D122" s="72" t="s">
        <v>190</v>
      </c>
      <c r="E122" s="8" t="s">
        <v>134</v>
      </c>
      <c r="F122" s="17">
        <v>1.6609879999999999</v>
      </c>
      <c r="G122" s="48">
        <v>1.575224</v>
      </c>
      <c r="H122" s="86">
        <f>SQRT((F119-F122)^2+(F120-F123)^2+(F121-F124)^2)</f>
        <v>2.4233669506886488</v>
      </c>
      <c r="I122" s="89">
        <v>3.8238177419834547</v>
      </c>
      <c r="J122" s="17">
        <f>'Zed Mini'!F122-'Experimental Procedure'!$C$122</f>
        <v>1.6609879999999999</v>
      </c>
      <c r="K122" s="86">
        <f t="shared" ref="K122" si="36">SQRT(J122^2+J123^2+J124^2)</f>
        <v>1.9654298407648643</v>
      </c>
      <c r="L122" s="48">
        <f>IF('Zed Mini'!G122-'Experimental Procedure'!$D$122&lt;-180,'Zed Mini'!G122-'Experimental Procedure'!$D$122 + 360,IF('Zed Mini'!G122-'Experimental Procedure'!$D$122&gt;180,'Zed Mini'!G122-'Experimental Procedure'!$D$122 - 360,'Zed Mini'!G122-'Experimental Procedure'!$D$122))</f>
        <v>1.575224</v>
      </c>
      <c r="M122" s="89">
        <v>4.3174918819408052</v>
      </c>
      <c r="N122" s="51" t="str">
        <f>IF('Experimental Procedure'!$E$122=0,"NaN",J122/'Experimental Procedure'!$E$122*100)</f>
        <v>NaN</v>
      </c>
      <c r="O122" s="92">
        <f>IF('Experimental Procedure'!$G$122=0,"NaN",'Zed Mini'!K122/'Experimental Procedure'!$G$122*100)</f>
        <v>49.135746019121605</v>
      </c>
      <c r="P122" s="51" t="str">
        <f>IF('Experimental Procedure'!$F$122=0,"NaN",L122/'Experimental Procedure'!$F$122*100)</f>
        <v>NaN</v>
      </c>
      <c r="Q122" s="109" t="str">
        <f>IF('Experimental Procedure'!$H$122=0,"NaN",'Zed Mini'!M122/'Experimental Procedure'!$H$122*100)</f>
        <v>NaN</v>
      </c>
    </row>
    <row r="123" spans="4:17" x14ac:dyDescent="0.25">
      <c r="D123" s="73"/>
      <c r="E123" s="9" t="s">
        <v>135</v>
      </c>
      <c r="F123" s="19">
        <v>1.702124</v>
      </c>
      <c r="G123" s="49">
        <v>180.05529999999999</v>
      </c>
      <c r="H123" s="87"/>
      <c r="I123" s="90"/>
      <c r="J123" s="19">
        <f>'Zed Mini'!F123-'Experimental Procedure'!$C$123</f>
        <v>0.30212400000000006</v>
      </c>
      <c r="K123" s="87"/>
      <c r="L123" s="49">
        <f>IF('Zed Mini'!G123-'Experimental Procedure'!$D$123&lt;-180,'Zed Mini'!G123-'Experimental Procedure'!$D$123 + 360,IF('Zed Mini'!G123-'Experimental Procedure'!$D$123&gt;180,'Zed Mini'!G123-'Experimental Procedure'!$D$123 - 360,'Zed Mini'!G123-'Experimental Procedure'!$D$123))</f>
        <v>5.5299999999988358E-2</v>
      </c>
      <c r="M123" s="90"/>
      <c r="N123" s="52" t="str">
        <f>IF('Experimental Procedure'!$E$123=0,"NaN",J123/'Experimental Procedure'!$E$123*100)</f>
        <v>NaN</v>
      </c>
      <c r="O123" s="93"/>
      <c r="P123" s="52" t="str">
        <f>IF('Experimental Procedure'!$F$123=0,"NaN",L123/'Experimental Procedure'!$F$123*100)</f>
        <v>NaN</v>
      </c>
      <c r="Q123" s="110"/>
    </row>
    <row r="124" spans="4:17" ht="15.75" thickBot="1" x14ac:dyDescent="0.3">
      <c r="D124" s="74"/>
      <c r="E124" s="10" t="s">
        <v>136</v>
      </c>
      <c r="F124" s="21">
        <v>1.0063569999999999</v>
      </c>
      <c r="G124" s="50">
        <v>4.0203829999999998</v>
      </c>
      <c r="H124" s="88"/>
      <c r="I124" s="91"/>
      <c r="J124" s="21">
        <f>'Zed Mini'!F124-'Experimental Procedure'!$C$124</f>
        <v>1.0063569999999999</v>
      </c>
      <c r="K124" s="88"/>
      <c r="L124" s="50">
        <f>IF('Zed Mini'!G124-'Experimental Procedure'!$D$124&lt;-180,'Zed Mini'!G124-'Experimental Procedure'!$D$124 + 360,IF('Zed Mini'!G124-'Experimental Procedure'!$D$124&gt;180,'Zed Mini'!G124-'Experimental Procedure'!$D$124 - 360,'Zed Mini'!G124-'Experimental Procedure'!$D$124))</f>
        <v>4.0203829999999998</v>
      </c>
      <c r="M124" s="91"/>
      <c r="N124" s="53">
        <f>IF('Experimental Procedure'!$E$124=0,"NaN",J124/'Experimental Procedure'!$E$124*100)</f>
        <v>25.158925</v>
      </c>
      <c r="O124" s="94"/>
      <c r="P124" s="53" t="str">
        <f>IF('Experimental Procedure'!$F$124=0,"NaN",L124/'Experimental Procedure'!$F$124*100)</f>
        <v>NaN</v>
      </c>
      <c r="Q124" s="111"/>
    </row>
    <row r="125" spans="4:17" x14ac:dyDescent="0.25">
      <c r="D125" s="72" t="s">
        <v>191</v>
      </c>
      <c r="E125" s="8" t="s">
        <v>134</v>
      </c>
      <c r="F125" s="17">
        <v>1.6669419999999999</v>
      </c>
      <c r="G125" s="48">
        <v>1.4396180000000001</v>
      </c>
      <c r="H125" s="86">
        <f>SQRT((F122-F125)^2+(F123-F126)^2+(F124-F127)^2)</f>
        <v>0.12373590952104419</v>
      </c>
      <c r="I125" s="89">
        <v>92.289493519742436</v>
      </c>
      <c r="J125" s="17">
        <f>'Zed Mini'!F125-'Experimental Procedure'!$C$125</f>
        <v>1.6669419999999999</v>
      </c>
      <c r="K125" s="86">
        <f t="shared" ref="K125" si="37">SQRT(J125^2+J126^2+J127^2)</f>
        <v>2.0379922111799154</v>
      </c>
      <c r="L125" s="48">
        <f>IF('Zed Mini'!G125-'Experimental Procedure'!$D$125&lt;-180,'Zed Mini'!G125-'Experimental Procedure'!$D$125 + 360,IF('Zed Mini'!G125-'Experimental Procedure'!$D$125&gt;180,'Zed Mini'!G125-'Experimental Procedure'!$D$125 - 360,'Zed Mini'!G125-'Experimental Procedure'!$D$125))</f>
        <v>1.4396180000000001</v>
      </c>
      <c r="M125" s="89">
        <v>6.2351740533353013</v>
      </c>
      <c r="N125" s="51" t="str">
        <f>IF('Experimental Procedure'!$E$125=0,"NaN",J125/'Experimental Procedure'!$E$125*100)</f>
        <v>NaN</v>
      </c>
      <c r="O125" s="92" t="str">
        <f>IF('Experimental Procedure'!$G$125=0,"NaN",'Zed Mini'!K125/'Experimental Procedure'!$G$125*100)</f>
        <v>NaN</v>
      </c>
      <c r="P125" s="51" t="str">
        <f>IF('Experimental Procedure'!$F$125=0,"NaN",L125/'Experimental Procedure'!$F$125*100)</f>
        <v>NaN</v>
      </c>
      <c r="Q125" s="109">
        <f>IF('Experimental Procedure'!$H$125=0,"NaN",'Zed Mini'!M125/'Experimental Procedure'!$H$125*100)</f>
        <v>6.9279711703725573</v>
      </c>
    </row>
    <row r="126" spans="4:17" x14ac:dyDescent="0.25">
      <c r="D126" s="73"/>
      <c r="E126" s="9" t="s">
        <v>135</v>
      </c>
      <c r="F126" s="19">
        <v>1.715579</v>
      </c>
      <c r="G126" s="49">
        <v>87.81926</v>
      </c>
      <c r="H126" s="87"/>
      <c r="I126" s="90"/>
      <c r="J126" s="19">
        <f>'Zed Mini'!F126-'Experimental Procedure'!$C$126</f>
        <v>0.31557900000000005</v>
      </c>
      <c r="K126" s="87"/>
      <c r="L126" s="49">
        <f>IF('Zed Mini'!G126-'Experimental Procedure'!$D$126&lt;-180,'Zed Mini'!G126-'Experimental Procedure'!$D$126 + 360,IF('Zed Mini'!G126-'Experimental Procedure'!$D$126&gt;180,'Zed Mini'!G126-'Experimental Procedure'!$D$126 - 360,'Zed Mini'!G126-'Experimental Procedure'!$D$126))</f>
        <v>-2.1807400000000001</v>
      </c>
      <c r="M126" s="90"/>
      <c r="N126" s="52" t="str">
        <f>IF('Experimental Procedure'!$E$126=0,"NaN",J126/'Experimental Procedure'!$E$126*100)</f>
        <v>NaN</v>
      </c>
      <c r="O126" s="93"/>
      <c r="P126" s="52">
        <f>IF('Experimental Procedure'!$F$126=0,"NaN",L126/'Experimental Procedure'!$F$126*100)</f>
        <v>-2.4230444444444448</v>
      </c>
      <c r="Q126" s="110"/>
    </row>
    <row r="127" spans="4:17" ht="15.75" thickBot="1" x14ac:dyDescent="0.3">
      <c r="D127" s="74"/>
      <c r="E127" s="10" t="s">
        <v>136</v>
      </c>
      <c r="F127" s="21">
        <v>1.1292150000000001</v>
      </c>
      <c r="G127" s="50">
        <v>5.634385</v>
      </c>
      <c r="H127" s="88"/>
      <c r="I127" s="91"/>
      <c r="J127" s="21">
        <f>'Zed Mini'!F127-'Experimental Procedure'!$C$127</f>
        <v>1.1292150000000001</v>
      </c>
      <c r="K127" s="88"/>
      <c r="L127" s="50">
        <f>IF('Zed Mini'!G127-'Experimental Procedure'!$D$127&lt;-180,'Zed Mini'!G127-'Experimental Procedure'!$D$127 + 360,IF('Zed Mini'!G127-'Experimental Procedure'!$D$127&gt;180,'Zed Mini'!G127-'Experimental Procedure'!$D$127 - 360,'Zed Mini'!G127-'Experimental Procedure'!$D$127))</f>
        <v>5.634385</v>
      </c>
      <c r="M127" s="91"/>
      <c r="N127" s="53" t="str">
        <f>IF('Experimental Procedure'!$E$127=0,"NaN",J127/'Experimental Procedure'!$E$127*100)</f>
        <v>NaN</v>
      </c>
      <c r="O127" s="94"/>
      <c r="P127" s="53" t="str">
        <f>IF('Experimental Procedure'!$F$127=0,"NaN",L127/'Experimental Procedure'!$F$127*100)</f>
        <v>NaN</v>
      </c>
      <c r="Q127" s="111"/>
    </row>
    <row r="128" spans="4:17" x14ac:dyDescent="0.25">
      <c r="D128" s="72" t="s">
        <v>180</v>
      </c>
      <c r="E128" s="8" t="s">
        <v>134</v>
      </c>
      <c r="F128" s="17">
        <v>7.5231209999999997</v>
      </c>
      <c r="G128" s="48">
        <v>1.6548959999999999</v>
      </c>
      <c r="H128" s="86">
        <f>SQRT((F125-F128)^2+(F126-F129)^2+(F127-F130)^2)</f>
        <v>5.8937609207772415</v>
      </c>
      <c r="I128" s="89">
        <v>5.0159517541295022</v>
      </c>
      <c r="J128" s="17">
        <f>'Zed Mini'!F128-'Experimental Procedure'!$C$128</f>
        <v>1.5231209999999997</v>
      </c>
      <c r="K128" s="86">
        <f t="shared" ref="K128" si="38">SQRT(J128^2+J129^2+J130^2)</f>
        <v>2.2675311970429424</v>
      </c>
      <c r="L128" s="48">
        <f>IF('Zed Mini'!G128-'Experimental Procedure'!$D$128&lt;-180,'Zed Mini'!G128-'Experimental Procedure'!$D$128 + 360,IF('Zed Mini'!G128-'Experimental Procedure'!$D$128&gt;180,'Zed Mini'!G128-'Experimental Procedure'!$D$128 - 360,'Zed Mini'!G128-'Experimental Procedure'!$D$128))</f>
        <v>1.6548959999999999</v>
      </c>
      <c r="M128" s="89">
        <v>5.2034530303321578</v>
      </c>
      <c r="N128" s="51">
        <f>IF('Experimental Procedure'!$E$128=0,"NaN",J128/'Experimental Procedure'!$E$128*100)</f>
        <v>25.385349999999995</v>
      </c>
      <c r="O128" s="92">
        <f>IF('Experimental Procedure'!$G$128=0,"NaN",'Zed Mini'!K128/'Experimental Procedure'!$G$128*100)</f>
        <v>37.79218661738237</v>
      </c>
      <c r="P128" s="51" t="str">
        <f>IF('Experimental Procedure'!$F$128=0,"NaN",L128/'Experimental Procedure'!$F$128*100)</f>
        <v>NaN</v>
      </c>
      <c r="Q128" s="109" t="str">
        <f>IF('Experimental Procedure'!$H$128=0,"NaN",'Zed Mini'!M128/'Experimental Procedure'!$H$128*100)</f>
        <v>NaN</v>
      </c>
    </row>
    <row r="129" spans="4:17" x14ac:dyDescent="0.25">
      <c r="D129" s="73"/>
      <c r="E129" s="9" t="s">
        <v>135</v>
      </c>
      <c r="F129" s="19">
        <v>2.3199209999999999</v>
      </c>
      <c r="G129" s="49">
        <v>85.248829999999998</v>
      </c>
      <c r="H129" s="87"/>
      <c r="I129" s="90"/>
      <c r="J129" s="19">
        <f>'Zed Mini'!F129-'Experimental Procedure'!$C$129</f>
        <v>0.91992099999999999</v>
      </c>
      <c r="K129" s="87"/>
      <c r="L129" s="49">
        <f>IF('Zed Mini'!G129-'Experimental Procedure'!$D$129&lt;-180,'Zed Mini'!G129-'Experimental Procedure'!$D$129 + 360,IF('Zed Mini'!G129-'Experimental Procedure'!$D$129&gt;180,'Zed Mini'!G129-'Experimental Procedure'!$D$129 - 360,'Zed Mini'!G129-'Experimental Procedure'!$D$129))</f>
        <v>-4.7511700000000019</v>
      </c>
      <c r="M129" s="90"/>
      <c r="N129" s="52" t="str">
        <f>IF('Experimental Procedure'!$E$129=0,"NaN",J129/'Experimental Procedure'!$E$129*100)</f>
        <v>NaN</v>
      </c>
      <c r="O129" s="93"/>
      <c r="P129" s="52" t="str">
        <f>IF('Experimental Procedure'!$F$129=0,"NaN",L129/'Experimental Procedure'!$F$129*100)</f>
        <v>NaN</v>
      </c>
      <c r="Q129" s="110"/>
    </row>
    <row r="130" spans="4:17" ht="15.75" thickBot="1" x14ac:dyDescent="0.3">
      <c r="D130" s="74"/>
      <c r="E130" s="10" t="s">
        <v>136</v>
      </c>
      <c r="F130" s="21">
        <v>1.4055409999999999</v>
      </c>
      <c r="G130" s="50">
        <v>1.2621469999999999</v>
      </c>
      <c r="H130" s="88"/>
      <c r="I130" s="91"/>
      <c r="J130" s="21">
        <f>'Zed Mini'!F130-'Experimental Procedure'!$C$130</f>
        <v>1.4055409999999999</v>
      </c>
      <c r="K130" s="88"/>
      <c r="L130" s="50">
        <f>IF('Zed Mini'!G130-'Experimental Procedure'!$D$130&lt;-180,'Zed Mini'!G130-'Experimental Procedure'!$D$130 + 360,IF('Zed Mini'!G130-'Experimental Procedure'!$D$130&gt;180,'Zed Mini'!G130-'Experimental Procedure'!$D$130 - 360,'Zed Mini'!G130-'Experimental Procedure'!$D$130))</f>
        <v>1.2621469999999999</v>
      </c>
      <c r="M130" s="91"/>
      <c r="N130" s="53" t="str">
        <f>IF('Experimental Procedure'!$E$130=0,"NaN",J130/'Experimental Procedure'!$E$130*100)</f>
        <v>NaN</v>
      </c>
      <c r="O130" s="94"/>
      <c r="P130" s="53" t="str">
        <f>IF('Experimental Procedure'!$F$130=0,"NaN",L130/'Experimental Procedure'!$F$130*100)</f>
        <v>NaN</v>
      </c>
      <c r="Q130" s="111"/>
    </row>
    <row r="131" spans="4:17" x14ac:dyDescent="0.25">
      <c r="D131" s="83" t="s">
        <v>192</v>
      </c>
      <c r="E131" s="8" t="s">
        <v>134</v>
      </c>
      <c r="F131" s="17">
        <v>5.9652710000000004</v>
      </c>
      <c r="G131" s="48">
        <v>0.79912450000000002</v>
      </c>
      <c r="H131" s="86">
        <f>SQRT((F128-F131)^2+(F129-F132)^2+(F130-F133)^2)</f>
        <v>2.2723854341679348</v>
      </c>
      <c r="I131" s="89">
        <v>89.655047067302817</v>
      </c>
      <c r="J131" s="17">
        <f>'Zed Mini'!F131-'Experimental Procedure'!$C$131</f>
        <v>-3.4728999999999566E-2</v>
      </c>
      <c r="K131" s="86">
        <f t="shared" ref="K131" si="39">SQRT(J131^2+J132^2+J133^2)</f>
        <v>4.5481250081070436E-2</v>
      </c>
      <c r="L131" s="48">
        <f>IF('Zed Mini'!G131-'Experimental Procedure'!$D$131&lt;-180,'Zed Mini'!G131-'Experimental Procedure'!$D$131 + 360,IF('Zed Mini'!G131-'Experimental Procedure'!$D$131&gt;180,'Zed Mini'!G131-'Experimental Procedure'!$D$131 - 360,'Zed Mini'!G131-'Experimental Procedure'!$D$131))</f>
        <v>0.79912450000000002</v>
      </c>
      <c r="M131" s="89">
        <v>6.2849355565228358</v>
      </c>
      <c r="N131" s="51" t="str">
        <f>IF('Experimental Procedure'!$E$131=0,"NaN",J131/'Experimental Procedure'!$E$131*100)</f>
        <v>NaN</v>
      </c>
      <c r="O131" s="92" t="str">
        <f>IF('Experimental Procedure'!$G$131=0,"NaN",'Zed Mini'!K131/'Experimental Procedure'!$G$131*100)</f>
        <v>NaN</v>
      </c>
      <c r="P131" s="51" t="str">
        <f>IF('Experimental Procedure'!$F$131=0,"NaN",L131/'Experimental Procedure'!$F$131*100)</f>
        <v>NaN</v>
      </c>
      <c r="Q131" s="109">
        <f>IF('Experimental Procedure'!$H$131=0,"NaN",'Zed Mini'!M131/'Experimental Procedure'!$H$131*100)</f>
        <v>6.9832617294698185</v>
      </c>
    </row>
    <row r="132" spans="4:17" x14ac:dyDescent="0.25">
      <c r="D132" s="84"/>
      <c r="E132" s="9" t="s">
        <v>135</v>
      </c>
      <c r="F132" s="19">
        <v>1.4018679999999999</v>
      </c>
      <c r="G132" s="49">
        <v>355.7122</v>
      </c>
      <c r="H132" s="87"/>
      <c r="I132" s="90"/>
      <c r="J132" s="19">
        <f>'Zed Mini'!F132-'Experimental Procedure'!$C$132</f>
        <v>1.8679999999999808E-3</v>
      </c>
      <c r="K132" s="87"/>
      <c r="L132" s="49">
        <f>IF('Zed Mini'!G132-'Experimental Procedure'!$D$132&lt;-180,'Zed Mini'!G132-'Experimental Procedure'!$D$132 + 360,IF('Zed Mini'!G132-'Experimental Procedure'!$D$132&gt;180,'Zed Mini'!G132-'Experimental Procedure'!$D$132 - 360,'Zed Mini'!G132-'Experimental Procedure'!$D$132))</f>
        <v>-4.2878000000000043</v>
      </c>
      <c r="M132" s="90"/>
      <c r="N132" s="52" t="str">
        <f>IF('Experimental Procedure'!$E$132=0,"NaN",J132/'Experimental Procedure'!$E$132*100)</f>
        <v>NaN</v>
      </c>
      <c r="O132" s="93"/>
      <c r="P132" s="52">
        <f>IF('Experimental Procedure'!$F$132=0,"NaN",L132/'Experimental Procedure'!$F$132*100)</f>
        <v>-4.7642222222222266</v>
      </c>
      <c r="Q132" s="110"/>
    </row>
    <row r="133" spans="4:17" ht="15.75" thickBot="1" x14ac:dyDescent="0.3">
      <c r="D133" s="85"/>
      <c r="E133" s="10" t="s">
        <v>136</v>
      </c>
      <c r="F133" s="21">
        <v>2.930787E-2</v>
      </c>
      <c r="G133" s="50">
        <v>4.4964149999999998</v>
      </c>
      <c r="H133" s="88"/>
      <c r="I133" s="91"/>
      <c r="J133" s="21">
        <f>'Zed Mini'!F133-'Experimental Procedure'!$C$133</f>
        <v>2.930787E-2</v>
      </c>
      <c r="K133" s="88"/>
      <c r="L133" s="50">
        <f>IF('Zed Mini'!G133-'Experimental Procedure'!$D$133&lt;-180,'Zed Mini'!G133-'Experimental Procedure'!$D$133 + 360,IF('Zed Mini'!G133-'Experimental Procedure'!$D$133&gt;180,'Zed Mini'!G133-'Experimental Procedure'!$D$133 - 360,'Zed Mini'!G133-'Experimental Procedure'!$D$133))</f>
        <v>4.4964149999999998</v>
      </c>
      <c r="M133" s="91"/>
      <c r="N133" s="53" t="str">
        <f>IF('Experimental Procedure'!$E$133=0,"NaN",J133/'Experimental Procedure'!$E$133*100)</f>
        <v>NaN</v>
      </c>
      <c r="O133" s="94"/>
      <c r="P133" s="53" t="str">
        <f>IF('Experimental Procedure'!$F$133=0,"NaN",L133/'Experimental Procedure'!$F$133*100)</f>
        <v>NaN</v>
      </c>
      <c r="Q133" s="111"/>
    </row>
    <row r="134" spans="4:17" x14ac:dyDescent="0.25">
      <c r="D134" s="72" t="s">
        <v>189</v>
      </c>
      <c r="E134" s="8" t="s">
        <v>134</v>
      </c>
      <c r="F134" s="17">
        <v>5.8763439999999996</v>
      </c>
      <c r="G134" s="48">
        <v>4.911128E-2</v>
      </c>
      <c r="H134" s="86">
        <f>SQRT((F131-F134)^2+(F132-F135)^2+(F133-F136)^2)</f>
        <v>3.9321665831495309</v>
      </c>
      <c r="I134" s="89">
        <v>2.5381433518927841</v>
      </c>
      <c r="J134" s="17">
        <f>'Zed Mini'!F134-'Experimental Procedure'!$C$110</f>
        <v>-0.12365600000000043</v>
      </c>
      <c r="K134" s="86">
        <f t="shared" ref="K134" si="40">SQRT(J134^2+J135^2+J136^2)</f>
        <v>0.17261137737994015</v>
      </c>
      <c r="L134" s="48">
        <f>IF('Zed Mini'!G134-'Experimental Procedure'!$D$110&lt;-180,'Zed Mini'!G134-'Experimental Procedure'!$D$110 + 360,IF('Zed Mini'!G134-'Experimental Procedure'!$D$110&gt;180,'Zed Mini'!G134-'Experimental Procedure'!$D$110 - 360,'Zed Mini'!G134-'Experimental Procedure'!$D$110))</f>
        <v>4.911128E-2</v>
      </c>
      <c r="M134" s="89">
        <v>3.803694875040355</v>
      </c>
      <c r="N134" s="51" t="str">
        <f>IF('Experimental Procedure'!$E$110=0,"NaN",J134/'Experimental Procedure'!$E$110*100)</f>
        <v>NaN</v>
      </c>
      <c r="O134" s="92">
        <f>IF('Experimental Procedure'!$G$110=0,"NaN",'Zed Mini'!K134/'Experimental Procedure'!$G$110*100)</f>
        <v>4.315284434498504</v>
      </c>
      <c r="P134" s="51" t="str">
        <f>IF('Experimental Procedure'!$F$110=0,"NaN",L134/'Experimental Procedure'!$F$110*100)</f>
        <v>NaN</v>
      </c>
      <c r="Q134" s="109" t="str">
        <f>IF('Experimental Procedure'!$H$110=0,"NaN",'Zed Mini'!M134/'Experimental Procedure'!$H$110*100)</f>
        <v>NaN</v>
      </c>
    </row>
    <row r="135" spans="4:17" x14ac:dyDescent="0.25">
      <c r="D135" s="73"/>
      <c r="E135" s="9" t="s">
        <v>135</v>
      </c>
      <c r="F135" s="19">
        <v>1.513199</v>
      </c>
      <c r="G135" s="49">
        <v>357.28370000000001</v>
      </c>
      <c r="H135" s="87"/>
      <c r="I135" s="90"/>
      <c r="J135" s="19">
        <f>'Zed Mini'!F135-'Experimental Procedure'!$C$111</f>
        <v>0.11319900000000005</v>
      </c>
      <c r="K135" s="87"/>
      <c r="L135" s="49">
        <f>IF('Zed Mini'!G135-'Experimental Procedure'!$D$111&lt;-180,'Zed Mini'!G135-'Experimental Procedure'!$D$111 + 360,IF('Zed Mini'!G135-'Experimental Procedure'!$D$111&gt;180,'Zed Mini'!G135-'Experimental Procedure'!$D$111 - 360,'Zed Mini'!G135-'Experimental Procedure'!$D$111))</f>
        <v>-2.7162999999999897</v>
      </c>
      <c r="M135" s="90"/>
      <c r="N135" s="52" t="str">
        <f>IF('Experimental Procedure'!$E$111=0,"NaN",J135/'Experimental Procedure'!$E$111*100)</f>
        <v>NaN</v>
      </c>
      <c r="O135" s="93"/>
      <c r="P135" s="52" t="str">
        <f>IF('Experimental Procedure'!$F$111=0,"NaN",L135/'Experimental Procedure'!$F$111*100)</f>
        <v>NaN</v>
      </c>
      <c r="Q135" s="110"/>
    </row>
    <row r="136" spans="4:17" ht="15.75" thickBot="1" x14ac:dyDescent="0.3">
      <c r="D136" s="74"/>
      <c r="E136" s="10" t="s">
        <v>136</v>
      </c>
      <c r="F136" s="21">
        <v>3.9588920000000001</v>
      </c>
      <c r="G136" s="50">
        <v>2.6613020000000001</v>
      </c>
      <c r="H136" s="88"/>
      <c r="I136" s="91"/>
      <c r="J136" s="21">
        <f>'Zed Mini'!F136-'Experimental Procedure'!$C$112</f>
        <v>-4.1107999999999922E-2</v>
      </c>
      <c r="K136" s="88"/>
      <c r="L136" s="50">
        <f>IF('Zed Mini'!G136-'Experimental Procedure'!$D$112&lt;-180,'Zed Mini'!G136-'Experimental Procedure'!$D$112 + 360,IF('Zed Mini'!G136-'Experimental Procedure'!$D$112&gt;180,'Zed Mini'!G136-'Experimental Procedure'!$D$112 - 360,'Zed Mini'!G136-'Experimental Procedure'!$D$112))</f>
        <v>2.6613020000000001</v>
      </c>
      <c r="M136" s="91"/>
      <c r="N136" s="53">
        <f>IF('Experimental Procedure'!$E$112=0,"NaN",J136/'Experimental Procedure'!$E$112*100)</f>
        <v>-1.0276999999999981</v>
      </c>
      <c r="O136" s="94"/>
      <c r="P136" s="53" t="str">
        <f>IF('Experimental Procedure'!$F$112=0,"NaN",L136/'Experimental Procedure'!$F$112*100)</f>
        <v>NaN</v>
      </c>
      <c r="Q136" s="111"/>
    </row>
    <row r="137" spans="4:17" x14ac:dyDescent="0.25">
      <c r="D137" s="72" t="s">
        <v>191</v>
      </c>
      <c r="E137" s="8" t="s">
        <v>134</v>
      </c>
      <c r="F137" s="17">
        <v>5.7479690000000003</v>
      </c>
      <c r="G137" s="48">
        <v>1.892326</v>
      </c>
      <c r="H137" s="86">
        <f>SQRT((F134-F137)^2+(F135-F138)^2+(F136-F139)^2)</f>
        <v>0.25867763598347632</v>
      </c>
      <c r="I137" s="89">
        <v>92.036725244675381</v>
      </c>
      <c r="J137" s="17">
        <f>'Zed Mini'!F137-'Experimental Procedure'!$C$113</f>
        <v>-0.25203099999999967</v>
      </c>
      <c r="K137" s="86">
        <f t="shared" ref="K137" si="41">SQRT(J137^2+J138^2+J139^2)</f>
        <v>0.38800767578361117</v>
      </c>
      <c r="L137" s="48">
        <f>IF('Zed Mini'!G137-'Experimental Procedure'!$D$113&lt;-180,'Zed Mini'!G137-'Experimental Procedure'!$D$113 + 360,IF('Zed Mini'!G137-'Experimental Procedure'!$D$113&gt;180,'Zed Mini'!G137-'Experimental Procedure'!$D$113 - 360,'Zed Mini'!G137-'Experimental Procedure'!$D$113))</f>
        <v>1.892326</v>
      </c>
      <c r="M137" s="89">
        <v>6.8840032223850507</v>
      </c>
      <c r="N137" s="51" t="str">
        <f>IF('Experimental Procedure'!$E$113=0,"NaN",J137/'Experimental Procedure'!$E$113*100)</f>
        <v>NaN</v>
      </c>
      <c r="O137" s="92" t="str">
        <f>IF('Experimental Procedure'!$G$113=0,"NaN",'Zed Mini'!K137/'Experimental Procedure'!$G$113*100)</f>
        <v>NaN</v>
      </c>
      <c r="P137" s="51" t="str">
        <f>IF('Experimental Procedure'!$F$113=0,"NaN",L137/'Experimental Procedure'!$F$113*100)</f>
        <v>NaN</v>
      </c>
      <c r="Q137" s="109">
        <f>IF('Experimental Procedure'!$H$113=0,"NaN",'Zed Mini'!M137/'Experimental Procedure'!$H$113*100)</f>
        <v>7.6488924693167233</v>
      </c>
    </row>
    <row r="138" spans="4:17" x14ac:dyDescent="0.25">
      <c r="D138" s="73"/>
      <c r="E138" s="9" t="s">
        <v>135</v>
      </c>
      <c r="F138" s="19">
        <v>1.5294410000000001</v>
      </c>
      <c r="G138" s="49">
        <v>265.3098</v>
      </c>
      <c r="H138" s="87"/>
      <c r="I138" s="90"/>
      <c r="J138" s="19">
        <f>'Zed Mini'!F138-'Experimental Procedure'!$C$114</f>
        <v>0.12944100000000014</v>
      </c>
      <c r="K138" s="87"/>
      <c r="L138" s="49">
        <f>IF('Zed Mini'!G138-'Experimental Procedure'!$D$114&lt;-180,'Zed Mini'!G138-'Experimental Procedure'!$D$114 + 360,IF('Zed Mini'!G138-'Experimental Procedure'!$D$114&gt;180,'Zed Mini'!G138-'Experimental Procedure'!$D$114 - 360,'Zed Mini'!G138-'Experimental Procedure'!$D$114))</f>
        <v>-4.6902000000000044</v>
      </c>
      <c r="M138" s="90"/>
      <c r="N138" s="52" t="str">
        <f>IF('Experimental Procedure'!$E$114=0,"NaN",J138/'Experimental Procedure'!$E$114*100)</f>
        <v>NaN</v>
      </c>
      <c r="O138" s="93"/>
      <c r="P138" s="52">
        <f>IF('Experimental Procedure'!$F$114=0,"NaN",L138/'Experimental Procedure'!$F$114*100)</f>
        <v>-5.2113333333333376</v>
      </c>
      <c r="Q138" s="110"/>
    </row>
    <row r="139" spans="4:17" ht="15.75" thickBot="1" x14ac:dyDescent="0.3">
      <c r="D139" s="74"/>
      <c r="E139" s="10" t="s">
        <v>136</v>
      </c>
      <c r="F139" s="21">
        <v>3.7349049999999999</v>
      </c>
      <c r="G139" s="50">
        <v>4.5950559999999996</v>
      </c>
      <c r="H139" s="88"/>
      <c r="I139" s="91"/>
      <c r="J139" s="21">
        <f>'Zed Mini'!F139-'Experimental Procedure'!$C$115</f>
        <v>-0.26509500000000008</v>
      </c>
      <c r="K139" s="88"/>
      <c r="L139" s="50">
        <f>IF('Zed Mini'!G139-'Experimental Procedure'!$D$115&lt;-180,'Zed Mini'!G139-'Experimental Procedure'!$D$115 + 360,IF('Zed Mini'!G139-'Experimental Procedure'!$D$115&gt;180,'Zed Mini'!G139-'Experimental Procedure'!$D$115 - 360,'Zed Mini'!G139-'Experimental Procedure'!$D$115))</f>
        <v>4.5950559999999996</v>
      </c>
      <c r="M139" s="91"/>
      <c r="N139" s="53" t="str">
        <f>IF('Experimental Procedure'!$E$115=0,"NaN",J139/'Experimental Procedure'!$E$115*100)</f>
        <v>NaN</v>
      </c>
      <c r="O139" s="94"/>
      <c r="P139" s="53" t="str">
        <f>IF('Experimental Procedure'!$F$115=0,"NaN",L139/'Experimental Procedure'!$F$115*100)</f>
        <v>NaN</v>
      </c>
      <c r="Q139" s="111"/>
    </row>
    <row r="140" spans="4:17" x14ac:dyDescent="0.25">
      <c r="D140" s="72" t="s">
        <v>188</v>
      </c>
      <c r="E140" s="8" t="s">
        <v>134</v>
      </c>
      <c r="F140" s="17">
        <v>1.1442570000000001</v>
      </c>
      <c r="G140" s="48">
        <v>2.413033</v>
      </c>
      <c r="H140" s="86">
        <f>SQRT((F137-F140)^2+(F138-F141)^2+(F139-F142)^2)</f>
        <v>4.6374821759331866</v>
      </c>
      <c r="I140" s="89">
        <v>3.1617330145953511</v>
      </c>
      <c r="J140" s="17">
        <f>'Zed Mini'!F140-'Experimental Procedure'!$C$116</f>
        <v>1.1442570000000001</v>
      </c>
      <c r="K140" s="86">
        <f t="shared" ref="K140" si="42">SQRT(J140^2+J141^2+J142^2)</f>
        <v>1.4112344810941235</v>
      </c>
      <c r="L140" s="48">
        <f>IF('Zed Mini'!G140-'Experimental Procedure'!$D$116&lt;-180,'Zed Mini'!G140-'Experimental Procedure'!$D$116 + 360,IF('Zed Mini'!G140-'Experimental Procedure'!$D$116&gt;180,'Zed Mini'!G140-'Experimental Procedure'!$D$116 - 360,'Zed Mini'!G140-'Experimental Procedure'!$D$116))</f>
        <v>2.413033</v>
      </c>
      <c r="M140" s="89">
        <v>4.3963212855330127</v>
      </c>
      <c r="N140" s="51">
        <f>IF('Experimental Procedure'!$E$116=0,"NaN",J140/'Experimental Procedure'!$E$116*100)</f>
        <v>19.07095</v>
      </c>
      <c r="O140" s="92">
        <f>IF('Experimental Procedure'!$G$116=0,"NaN",'Zed Mini'!K140/'Experimental Procedure'!$G$116*100)</f>
        <v>23.520574684902058</v>
      </c>
      <c r="P140" s="51" t="str">
        <f>IF('Experimental Procedure'!$F$116=0,"NaN",L140/'Experimental Procedure'!$F$116*100)</f>
        <v>NaN</v>
      </c>
      <c r="Q140" s="109" t="str">
        <f>IF('Experimental Procedure'!$H$116=0,"NaN",'Zed Mini'!M140/'Experimental Procedure'!$H$116*100)</f>
        <v>NaN</v>
      </c>
    </row>
    <row r="141" spans="4:17" x14ac:dyDescent="0.25">
      <c r="D141" s="73"/>
      <c r="E141" s="9" t="s">
        <v>135</v>
      </c>
      <c r="F141" s="19">
        <v>1.996966</v>
      </c>
      <c r="G141" s="49">
        <v>267.92349999999999</v>
      </c>
      <c r="H141" s="87"/>
      <c r="I141" s="90"/>
      <c r="J141" s="19">
        <f>'Zed Mini'!F141-'Experimental Procedure'!$C$117</f>
        <v>0.59696600000000011</v>
      </c>
      <c r="K141" s="87"/>
      <c r="L141" s="49">
        <f>IF('Zed Mini'!G141-'Experimental Procedure'!$D$117&lt;-180,'Zed Mini'!G141-'Experimental Procedure'!$D$117 + 360,IF('Zed Mini'!G141-'Experimental Procedure'!$D$117&gt;180,'Zed Mini'!G141-'Experimental Procedure'!$D$117 - 360,'Zed Mini'!G141-'Experimental Procedure'!$D$117))</f>
        <v>-2.07650000000001</v>
      </c>
      <c r="M141" s="90"/>
      <c r="N141" s="52" t="str">
        <f>IF('Experimental Procedure'!$E$117=0,"NaN",J141/'Experimental Procedure'!$E$117*100)</f>
        <v>NaN</v>
      </c>
      <c r="O141" s="93"/>
      <c r="P141" s="52" t="str">
        <f>IF('Experimental Procedure'!$F$117=0,"NaN",L141/'Experimental Procedure'!$F$117*100)</f>
        <v>NaN</v>
      </c>
      <c r="Q141" s="110"/>
    </row>
    <row r="142" spans="4:17" ht="15.75" thickBot="1" x14ac:dyDescent="0.3">
      <c r="D142" s="74"/>
      <c r="E142" s="10" t="s">
        <v>136</v>
      </c>
      <c r="F142" s="21">
        <v>3.4291320000000001</v>
      </c>
      <c r="G142" s="50">
        <v>2.9890789999999998</v>
      </c>
      <c r="H142" s="88"/>
      <c r="I142" s="91"/>
      <c r="J142" s="21">
        <f>'Zed Mini'!F142-'Experimental Procedure'!$C$118</f>
        <v>-0.57086799999999993</v>
      </c>
      <c r="K142" s="88"/>
      <c r="L142" s="50">
        <f>IF('Zed Mini'!G142-'Experimental Procedure'!$D$118&lt;-180,'Zed Mini'!G142-'Experimental Procedure'!$D$118 + 360,IF('Zed Mini'!G142-'Experimental Procedure'!$D$118&gt;180,'Zed Mini'!G142-'Experimental Procedure'!$D$118 - 360,'Zed Mini'!G142-'Experimental Procedure'!$D$118))</f>
        <v>2.9890789999999998</v>
      </c>
      <c r="M142" s="91"/>
      <c r="N142" s="53" t="str">
        <f>IF('Experimental Procedure'!$E$118=0,"NaN",J142/'Experimental Procedure'!$E$118*100)</f>
        <v>NaN</v>
      </c>
      <c r="O142" s="94"/>
      <c r="P142" s="53" t="str">
        <f>IF('Experimental Procedure'!$F$118=0,"NaN",L142/'Experimental Procedure'!$F$118*100)</f>
        <v>NaN</v>
      </c>
      <c r="Q142" s="111"/>
    </row>
    <row r="143" spans="4:17" x14ac:dyDescent="0.25">
      <c r="D143" s="72" t="s">
        <v>191</v>
      </c>
      <c r="E143" s="8" t="s">
        <v>134</v>
      </c>
      <c r="F143" s="17">
        <v>0.10309889999999999</v>
      </c>
      <c r="G143" s="48">
        <v>3.9702959999999998</v>
      </c>
      <c r="H143" s="86">
        <f>SQRT((F140-F143)^2+(F141-F144)^2+(F142-F145)^2)</f>
        <v>1.0667048726543862</v>
      </c>
      <c r="I143" s="89">
        <v>91.052113440451549</v>
      </c>
      <c r="J143" s="17">
        <f>'Zed Mini'!F143-'Experimental Procedure'!$C$119</f>
        <v>0.10309889999999999</v>
      </c>
      <c r="K143" s="86">
        <f t="shared" ref="K143" si="43">SQRT(J143^2+J144^2+J145^2)</f>
        <v>0.94550787716772089</v>
      </c>
      <c r="L143" s="48">
        <f>IF('Zed Mini'!G143-'Experimental Procedure'!$D$119&lt;-180,'Zed Mini'!G143-'Experimental Procedure'!$D$119 + 360,IF('Zed Mini'!G143-'Experimental Procedure'!$D$119&gt;180,'Zed Mini'!G143-'Experimental Procedure'!$D$119 - 360,'Zed Mini'!G143-'Experimental Procedure'!$D$119))</f>
        <v>3.9702959999999998</v>
      </c>
      <c r="M143" s="89">
        <v>5.588213601403722</v>
      </c>
      <c r="N143" s="51" t="str">
        <f>IF('Experimental Procedure'!$E$119=0,"NaN",J143/'Experimental Procedure'!$E$119*100)</f>
        <v>NaN</v>
      </c>
      <c r="O143" s="92" t="str">
        <f>IF('Experimental Procedure'!$G$119=0,"NaN",'Zed Mini'!K143/'Experimental Procedure'!$G$119*100)</f>
        <v>NaN</v>
      </c>
      <c r="P143" s="51" t="str">
        <f>IF('Experimental Procedure'!$F$119=0,"NaN",L143/'Experimental Procedure'!$F$119*100)</f>
        <v>NaN</v>
      </c>
      <c r="Q143" s="109">
        <f>IF('Experimental Procedure'!$H$119=0,"NaN",'Zed Mini'!M143/'Experimental Procedure'!$H$119*100)</f>
        <v>6.2091262237819143</v>
      </c>
    </row>
    <row r="144" spans="4:17" x14ac:dyDescent="0.25">
      <c r="D144" s="73"/>
      <c r="E144" s="9" t="s">
        <v>135</v>
      </c>
      <c r="F144" s="19">
        <v>1.9133089999999999</v>
      </c>
      <c r="G144" s="49">
        <v>176.8424</v>
      </c>
      <c r="H144" s="87"/>
      <c r="I144" s="90"/>
      <c r="J144" s="19">
        <f>'Zed Mini'!F144-'Experimental Procedure'!$C$120</f>
        <v>0.51330900000000002</v>
      </c>
      <c r="K144" s="87"/>
      <c r="L144" s="49">
        <f>IF('Zed Mini'!G144-'Experimental Procedure'!$D$120&lt;-180,'Zed Mini'!G144-'Experimental Procedure'!$D$120 + 360,IF('Zed Mini'!G144-'Experimental Procedure'!$D$120&gt;180,'Zed Mini'!G144-'Experimental Procedure'!$D$120 - 360,'Zed Mini'!G144-'Experimental Procedure'!$D$120))</f>
        <v>-3.1576000000000022</v>
      </c>
      <c r="M144" s="90"/>
      <c r="N144" s="52" t="str">
        <f>IF('Experimental Procedure'!$E$120=0,"NaN",J144/'Experimental Procedure'!$E$120*100)</f>
        <v>NaN</v>
      </c>
      <c r="O144" s="93"/>
      <c r="P144" s="52">
        <f>IF('Experimental Procedure'!$F$120=0,"NaN",L144/'Experimental Procedure'!$F$120*100)</f>
        <v>-3.5084444444444465</v>
      </c>
      <c r="Q144" s="110"/>
    </row>
    <row r="145" spans="4:17" ht="15.75" thickBot="1" x14ac:dyDescent="0.3">
      <c r="D145" s="74"/>
      <c r="E145" s="10" t="s">
        <v>136</v>
      </c>
      <c r="F145" s="21">
        <v>3.212682</v>
      </c>
      <c r="G145" s="50">
        <v>2.2387190000000001</v>
      </c>
      <c r="H145" s="88"/>
      <c r="I145" s="91"/>
      <c r="J145" s="21">
        <f>'Zed Mini'!F145-'Experimental Procedure'!$C$121</f>
        <v>-0.78731799999999996</v>
      </c>
      <c r="K145" s="88"/>
      <c r="L145" s="50">
        <f>IF('Zed Mini'!G145-'Experimental Procedure'!$D$121&lt;-180,'Zed Mini'!G145-'Experimental Procedure'!$D$121 + 360,IF('Zed Mini'!G145-'Experimental Procedure'!$D$121&gt;180,'Zed Mini'!G145-'Experimental Procedure'!$D$121 - 360,'Zed Mini'!G145-'Experimental Procedure'!$D$121))</f>
        <v>2.2387190000000001</v>
      </c>
      <c r="M145" s="91"/>
      <c r="N145" s="53" t="str">
        <f>IF('Experimental Procedure'!$E$121=0,"NaN",J145/'Experimental Procedure'!$E$121*100)</f>
        <v>NaN</v>
      </c>
      <c r="O145" s="94"/>
      <c r="P145" s="53" t="str">
        <f>IF('Experimental Procedure'!$F$121=0,"NaN",L145/'Experimental Procedure'!$F$121*100)</f>
        <v>NaN</v>
      </c>
      <c r="Q145" s="111"/>
    </row>
    <row r="146" spans="4:17" x14ac:dyDescent="0.25">
      <c r="D146" s="72" t="s">
        <v>190</v>
      </c>
      <c r="E146" s="8" t="s">
        <v>134</v>
      </c>
      <c r="F146" s="17">
        <v>0.2135754</v>
      </c>
      <c r="G146" s="48">
        <v>2.394571</v>
      </c>
      <c r="H146" s="86">
        <f>SQRT((F143-F146)^2+(F144-F147)^2+(F145-F148)^2)</f>
        <v>2.2582714578196774</v>
      </c>
      <c r="I146" s="89">
        <v>2.9488342685498443</v>
      </c>
      <c r="J146" s="17">
        <f>'Zed Mini'!F146-'Experimental Procedure'!$C$122</f>
        <v>0.2135754</v>
      </c>
      <c r="K146" s="86">
        <f t="shared" ref="K146" si="44">SQRT(J146^2+J147^2+J148^2)</f>
        <v>1.026281656840129</v>
      </c>
      <c r="L146" s="48">
        <f>IF('Zed Mini'!G146-'Experimental Procedure'!$D$122&lt;-180,'Zed Mini'!G146-'Experimental Procedure'!$D$122 + 360,IF('Zed Mini'!G146-'Experimental Procedure'!$D$122&gt;180,'Zed Mini'!G146-'Experimental Procedure'!$D$122 - 360,'Zed Mini'!G146-'Experimental Procedure'!$D$122))</f>
        <v>2.394571</v>
      </c>
      <c r="M146" s="89">
        <v>2.8927871985277558</v>
      </c>
      <c r="N146" s="51" t="str">
        <f>IF('Experimental Procedure'!$E$122=0,"NaN",J146/'Experimental Procedure'!$E$122*100)</f>
        <v>NaN</v>
      </c>
      <c r="O146" s="92">
        <f>IF('Experimental Procedure'!$G$122=0,"NaN",'Zed Mini'!K146/'Experimental Procedure'!$G$122*100)</f>
        <v>25.657041421003225</v>
      </c>
      <c r="P146" s="51" t="str">
        <f>IF('Experimental Procedure'!$F$122=0,"NaN",L146/'Experimental Procedure'!$F$122*100)</f>
        <v>NaN</v>
      </c>
      <c r="Q146" s="109" t="str">
        <f>IF('Experimental Procedure'!$H$122=0,"NaN",'Zed Mini'!M146/'Experimental Procedure'!$H$122*100)</f>
        <v>NaN</v>
      </c>
    </row>
    <row r="147" spans="4:17" x14ac:dyDescent="0.25">
      <c r="D147" s="73"/>
      <c r="E147" s="9" t="s">
        <v>135</v>
      </c>
      <c r="F147" s="19">
        <v>1.6474329999999999</v>
      </c>
      <c r="G147" s="49">
        <v>179.1207</v>
      </c>
      <c r="H147" s="87"/>
      <c r="I147" s="90"/>
      <c r="J147" s="19">
        <f>'Zed Mini'!F147-'Experimental Procedure'!$C$123</f>
        <v>0.24743300000000001</v>
      </c>
      <c r="K147" s="87"/>
      <c r="L147" s="49">
        <f>IF('Zed Mini'!G147-'Experimental Procedure'!$D$123&lt;-180,'Zed Mini'!G147-'Experimental Procedure'!$D$123 + 360,IF('Zed Mini'!G147-'Experimental Procedure'!$D$123&gt;180,'Zed Mini'!G147-'Experimental Procedure'!$D$123 - 360,'Zed Mini'!G147-'Experimental Procedure'!$D$123))</f>
        <v>-0.87930000000000064</v>
      </c>
      <c r="M147" s="90"/>
      <c r="N147" s="52" t="str">
        <f>IF('Experimental Procedure'!$E$123=0,"NaN",J147/'Experimental Procedure'!$E$123*100)</f>
        <v>NaN</v>
      </c>
      <c r="O147" s="93"/>
      <c r="P147" s="52" t="str">
        <f>IF('Experimental Procedure'!$F$123=0,"NaN",L147/'Experimental Procedure'!$F$123*100)</f>
        <v>NaN</v>
      </c>
      <c r="Q147" s="110"/>
    </row>
    <row r="148" spans="4:17" ht="15.75" thickBot="1" x14ac:dyDescent="0.3">
      <c r="D148" s="74"/>
      <c r="E148" s="10" t="s">
        <v>136</v>
      </c>
      <c r="F148" s="21">
        <v>0.97283940000000002</v>
      </c>
      <c r="G148" s="50">
        <v>1.346114</v>
      </c>
      <c r="H148" s="88"/>
      <c r="I148" s="91"/>
      <c r="J148" s="21">
        <f>'Zed Mini'!F148-'Experimental Procedure'!$C$124</f>
        <v>0.97283940000000002</v>
      </c>
      <c r="K148" s="88"/>
      <c r="L148" s="50">
        <f>IF('Zed Mini'!G148-'Experimental Procedure'!$D$124&lt;-180,'Zed Mini'!G148-'Experimental Procedure'!$D$124 + 360,IF('Zed Mini'!G148-'Experimental Procedure'!$D$124&gt;180,'Zed Mini'!G148-'Experimental Procedure'!$D$124 - 360,'Zed Mini'!G148-'Experimental Procedure'!$D$124))</f>
        <v>1.346114</v>
      </c>
      <c r="M148" s="91"/>
      <c r="N148" s="53">
        <f>IF('Experimental Procedure'!$E$124=0,"NaN",J148/'Experimental Procedure'!$E$124*100)</f>
        <v>24.320985</v>
      </c>
      <c r="O148" s="94"/>
      <c r="P148" s="53" t="str">
        <f>IF('Experimental Procedure'!$F$124=0,"NaN",L148/'Experimental Procedure'!$F$124*100)</f>
        <v>NaN</v>
      </c>
      <c r="Q148" s="111"/>
    </row>
    <row r="149" spans="4:17" x14ac:dyDescent="0.25">
      <c r="D149" s="72" t="s">
        <v>191</v>
      </c>
      <c r="E149" s="8" t="s">
        <v>134</v>
      </c>
      <c r="F149" s="17">
        <v>0.24408250000000001</v>
      </c>
      <c r="G149" s="48">
        <v>1.7280420000000001</v>
      </c>
      <c r="H149" s="86">
        <f>SQRT((F146-F149)^2+(F147-F150)^2+(F148-F151)^2)</f>
        <v>0.10366323363357897</v>
      </c>
      <c r="I149" s="89">
        <v>89.946682915702652</v>
      </c>
      <c r="J149" s="17">
        <f>'Zed Mini'!F149-'Experimental Procedure'!$C$125</f>
        <v>0.24408250000000001</v>
      </c>
      <c r="K149" s="86">
        <f t="shared" ref="K149" si="45">SQRT(J149^2+J150^2+J151^2)</f>
        <v>1.1219472159955877</v>
      </c>
      <c r="L149" s="48">
        <f>IF('Zed Mini'!G149-'Experimental Procedure'!$D$125&lt;-180,'Zed Mini'!G149-'Experimental Procedure'!$D$125 + 360,IF('Zed Mini'!G149-'Experimental Procedure'!$D$125&gt;180,'Zed Mini'!G149-'Experimental Procedure'!$D$125 - 360,'Zed Mini'!G149-'Experimental Procedure'!$D$125))</f>
        <v>1.7280420000000001</v>
      </c>
      <c r="M149" s="89">
        <v>2.5665921628566672</v>
      </c>
      <c r="N149" s="51" t="str">
        <f>IF('Experimental Procedure'!$E$125=0,"NaN",J149/'Experimental Procedure'!$E$125*100)</f>
        <v>NaN</v>
      </c>
      <c r="O149" s="92" t="str">
        <f>IF('Experimental Procedure'!$G$125=0,"NaN",'Zed Mini'!K149/'Experimental Procedure'!$G$125*100)</f>
        <v>NaN</v>
      </c>
      <c r="P149" s="51" t="str">
        <f>IF('Experimental Procedure'!$F$125=0,"NaN",L149/'Experimental Procedure'!$F$125*100)</f>
        <v>NaN</v>
      </c>
      <c r="Q149" s="109">
        <f>IF('Experimental Procedure'!$H$125=0,"NaN",'Zed Mini'!M149/'Experimental Procedure'!$H$125*100)</f>
        <v>2.8517690698407412</v>
      </c>
    </row>
    <row r="150" spans="4:17" x14ac:dyDescent="0.25">
      <c r="D150" s="73"/>
      <c r="E150" s="9" t="s">
        <v>135</v>
      </c>
      <c r="F150" s="19">
        <v>1.630725</v>
      </c>
      <c r="G150" s="49">
        <v>89.18938</v>
      </c>
      <c r="H150" s="87"/>
      <c r="I150" s="90"/>
      <c r="J150" s="19">
        <f>'Zed Mini'!F150-'Experimental Procedure'!$C$126</f>
        <v>0.23072500000000007</v>
      </c>
      <c r="K150" s="87"/>
      <c r="L150" s="49">
        <f>IF('Zed Mini'!G150-'Experimental Procedure'!$D$126&lt;-180,'Zed Mini'!G150-'Experimental Procedure'!$D$126 + 360,IF('Zed Mini'!G150-'Experimental Procedure'!$D$126&gt;180,'Zed Mini'!G150-'Experimental Procedure'!$D$126 - 360,'Zed Mini'!G150-'Experimental Procedure'!$D$126))</f>
        <v>-0.81062000000000012</v>
      </c>
      <c r="M150" s="90"/>
      <c r="N150" s="52" t="str">
        <f>IF('Experimental Procedure'!$E$126=0,"NaN",J150/'Experimental Procedure'!$E$126*100)</f>
        <v>NaN</v>
      </c>
      <c r="O150" s="93"/>
      <c r="P150" s="52">
        <f>IF('Experimental Procedure'!$F$126=0,"NaN",L150/'Experimental Procedure'!$F$126*100)</f>
        <v>-0.90068888888888909</v>
      </c>
      <c r="Q150" s="110"/>
    </row>
    <row r="151" spans="4:17" ht="15.75" thickBot="1" x14ac:dyDescent="0.3">
      <c r="D151" s="74"/>
      <c r="E151" s="10" t="s">
        <v>136</v>
      </c>
      <c r="F151" s="21">
        <v>1.0704929999999999</v>
      </c>
      <c r="G151" s="50">
        <v>1.7037679999999999</v>
      </c>
      <c r="H151" s="88"/>
      <c r="I151" s="91"/>
      <c r="J151" s="21">
        <f>'Zed Mini'!F151-'Experimental Procedure'!$C$127</f>
        <v>1.0704929999999999</v>
      </c>
      <c r="K151" s="88"/>
      <c r="L151" s="50">
        <f>IF('Zed Mini'!G151-'Experimental Procedure'!$D$127&lt;-180,'Zed Mini'!G151-'Experimental Procedure'!$D$127 + 360,IF('Zed Mini'!G151-'Experimental Procedure'!$D$127&gt;180,'Zed Mini'!G151-'Experimental Procedure'!$D$127 - 360,'Zed Mini'!G151-'Experimental Procedure'!$D$127))</f>
        <v>1.7037679999999999</v>
      </c>
      <c r="M151" s="91"/>
      <c r="N151" s="53" t="str">
        <f>IF('Experimental Procedure'!$E$127=0,"NaN",J151/'Experimental Procedure'!$E$127*100)</f>
        <v>NaN</v>
      </c>
      <c r="O151" s="94"/>
      <c r="P151" s="53" t="str">
        <f>IF('Experimental Procedure'!$F$127=0,"NaN",L151/'Experimental Procedure'!$F$127*100)</f>
        <v>NaN</v>
      </c>
      <c r="Q151" s="111"/>
    </row>
    <row r="152" spans="4:17" x14ac:dyDescent="0.25">
      <c r="D152" s="72" t="s">
        <v>180</v>
      </c>
      <c r="E152" s="8" t="s">
        <v>134</v>
      </c>
      <c r="F152" s="17">
        <v>5.9803750000000004</v>
      </c>
      <c r="G152" s="48">
        <v>359.48770000000002</v>
      </c>
      <c r="H152" s="86">
        <f>SQRT((F149-F152)^2+(F150-F153)^2+(F151-F154)^2)</f>
        <v>5.7847961405496608</v>
      </c>
      <c r="I152" s="89">
        <v>2.5390695756121073</v>
      </c>
      <c r="J152" s="17">
        <f>'Zed Mini'!F152-'Experimental Procedure'!$C$128</f>
        <v>-1.9624999999999559E-2</v>
      </c>
      <c r="K152" s="86">
        <f t="shared" ref="K152" si="46">SQRT(J152^2+J153^2+J154^2)</f>
        <v>1.5340900855089965</v>
      </c>
      <c r="L152" s="48">
        <f>IF('Zed Mini'!G152-'Experimental Procedure'!$D$128&lt;-180,'Zed Mini'!G152-'Experimental Procedure'!$D$128 + 360,IF('Zed Mini'!G152-'Experimental Procedure'!$D$128&gt;180,'Zed Mini'!G152-'Experimental Procedure'!$D$128 - 360,'Zed Mini'!G152-'Experimental Procedure'!$D$128))</f>
        <v>-0.51229999999998199</v>
      </c>
      <c r="M152" s="89">
        <v>1.2331472943346375</v>
      </c>
      <c r="N152" s="51">
        <f>IF('Experimental Procedure'!$E$128=0,"NaN",J152/'Experimental Procedure'!$E$128*100)</f>
        <v>-0.32708333333332595</v>
      </c>
      <c r="O152" s="92">
        <f>IF('Experimental Procedure'!$G$128=0,"NaN",'Zed Mini'!K152/'Experimental Procedure'!$G$128*100)</f>
        <v>25.568168091816606</v>
      </c>
      <c r="P152" s="51" t="str">
        <f>IF('Experimental Procedure'!$F$128=0,"NaN",L152/'Experimental Procedure'!$F$128*100)</f>
        <v>NaN</v>
      </c>
      <c r="Q152" s="109" t="str">
        <f>IF('Experimental Procedure'!$H$128=0,"NaN",'Zed Mini'!M152/'Experimental Procedure'!$H$128*100)</f>
        <v>NaN</v>
      </c>
    </row>
    <row r="153" spans="4:17" x14ac:dyDescent="0.25">
      <c r="D153" s="73"/>
      <c r="E153" s="9" t="s">
        <v>135</v>
      </c>
      <c r="F153" s="19">
        <v>2.368754</v>
      </c>
      <c r="G153" s="49">
        <v>89.004429999999999</v>
      </c>
      <c r="H153" s="87"/>
      <c r="I153" s="90"/>
      <c r="J153" s="19">
        <f>'Zed Mini'!F153-'Experimental Procedure'!$C$129</f>
        <v>0.96875400000000012</v>
      </c>
      <c r="K153" s="87"/>
      <c r="L153" s="49">
        <f>IF('Zed Mini'!G153-'Experimental Procedure'!$D$129&lt;-180,'Zed Mini'!G153-'Experimental Procedure'!$D$129 + 360,IF('Zed Mini'!G153-'Experimental Procedure'!$D$129&gt;180,'Zed Mini'!G153-'Experimental Procedure'!$D$129 - 360,'Zed Mini'!G153-'Experimental Procedure'!$D$129))</f>
        <v>-0.99557000000000073</v>
      </c>
      <c r="M153" s="90"/>
      <c r="N153" s="52" t="str">
        <f>IF('Experimental Procedure'!$E$129=0,"NaN",J153/'Experimental Procedure'!$E$129*100)</f>
        <v>NaN</v>
      </c>
      <c r="O153" s="93"/>
      <c r="P153" s="52" t="str">
        <f>IF('Experimental Procedure'!$F$129=0,"NaN",L153/'Experimental Procedure'!$F$129*100)</f>
        <v>NaN</v>
      </c>
      <c r="Q153" s="110"/>
    </row>
    <row r="154" spans="4:17" ht="15.75" thickBot="1" x14ac:dyDescent="0.3">
      <c r="D154" s="74"/>
      <c r="E154" s="10" t="s">
        <v>136</v>
      </c>
      <c r="F154" s="21">
        <v>1.189354</v>
      </c>
      <c r="G154" s="50">
        <v>0.52124519999999996</v>
      </c>
      <c r="H154" s="88"/>
      <c r="I154" s="91"/>
      <c r="J154" s="21">
        <f>'Zed Mini'!F154-'Experimental Procedure'!$C$130</f>
        <v>1.189354</v>
      </c>
      <c r="K154" s="88"/>
      <c r="L154" s="50">
        <f>IF('Zed Mini'!G154-'Experimental Procedure'!$D$130&lt;-180,'Zed Mini'!G154-'Experimental Procedure'!$D$130 + 360,IF('Zed Mini'!G154-'Experimental Procedure'!$D$130&gt;180,'Zed Mini'!G154-'Experimental Procedure'!$D$130 - 360,'Zed Mini'!G154-'Experimental Procedure'!$D$130))</f>
        <v>0.52124519999999996</v>
      </c>
      <c r="M154" s="91"/>
      <c r="N154" s="53" t="str">
        <f>IF('Experimental Procedure'!$E$130=0,"NaN",J154/'Experimental Procedure'!$E$130*100)</f>
        <v>NaN</v>
      </c>
      <c r="O154" s="94"/>
      <c r="P154" s="53" t="str">
        <f>IF('Experimental Procedure'!$F$130=0,"NaN",L154/'Experimental Procedure'!$F$130*100)</f>
        <v>NaN</v>
      </c>
      <c r="Q154" s="111"/>
    </row>
    <row r="155" spans="4:17" x14ac:dyDescent="0.25">
      <c r="D155" s="83" t="s">
        <v>192</v>
      </c>
      <c r="E155" s="8" t="s">
        <v>134</v>
      </c>
      <c r="F155" s="17">
        <v>5.9776800000000003</v>
      </c>
      <c r="G155" s="48">
        <v>0.43589860000000002</v>
      </c>
      <c r="H155" s="86">
        <f>SQRT((F152-F155)^2+(F153-F156)^2+(F154-F157)^2)</f>
        <v>1.5409278766375394</v>
      </c>
      <c r="I155" s="89">
        <v>91.944670080641885</v>
      </c>
      <c r="J155" s="17">
        <f>'Zed Mini'!F155-'Experimental Procedure'!$C$131</f>
        <v>-2.2319999999999673E-2</v>
      </c>
      <c r="K155" s="86">
        <f t="shared" ref="K155" si="47">SQRT(J155^2+J156^2+J157^2)</f>
        <v>2.4720686336661152E-2</v>
      </c>
      <c r="L155" s="48">
        <f>IF('Zed Mini'!G155-'Experimental Procedure'!$D$131&lt;-180,'Zed Mini'!G155-'Experimental Procedure'!$D$131 + 360,IF('Zed Mini'!G155-'Experimental Procedure'!$D$131&gt;180,'Zed Mini'!G155-'Experimental Procedure'!$D$131 - 360,'Zed Mini'!G155-'Experimental Procedure'!$D$131))</f>
        <v>0.43589860000000002</v>
      </c>
      <c r="M155" s="89">
        <v>4.5345612471209993</v>
      </c>
      <c r="N155" s="51" t="str">
        <f>IF('Experimental Procedure'!$E$131=0,"NaN",J155/'Experimental Procedure'!$E$131*100)</f>
        <v>NaN</v>
      </c>
      <c r="O155" s="92" t="str">
        <f>IF('Experimental Procedure'!$G$131=0,"NaN",'Zed Mini'!K155/'Experimental Procedure'!$G$131*100)</f>
        <v>NaN</v>
      </c>
      <c r="P155" s="51" t="str">
        <f>IF('Experimental Procedure'!$F$131=0,"NaN",L155/'Experimental Procedure'!$F$131*100)</f>
        <v>NaN</v>
      </c>
      <c r="Q155" s="109">
        <f>IF('Experimental Procedure'!$H$131=0,"NaN",'Zed Mini'!M155/'Experimental Procedure'!$H$131*100)</f>
        <v>5.0384013856900003</v>
      </c>
    </row>
    <row r="156" spans="4:17" x14ac:dyDescent="0.25">
      <c r="D156" s="84"/>
      <c r="E156" s="9" t="s">
        <v>135</v>
      </c>
      <c r="F156" s="19">
        <v>1.4018569999999999</v>
      </c>
      <c r="G156" s="49">
        <v>357.09769999999997</v>
      </c>
      <c r="H156" s="87"/>
      <c r="I156" s="90"/>
      <c r="J156" s="19">
        <f>'Zed Mini'!F156-'Experimental Procedure'!$C$132</f>
        <v>1.8569999999999975E-3</v>
      </c>
      <c r="K156" s="87"/>
      <c r="L156" s="49">
        <f>IF('Zed Mini'!G156-'Experimental Procedure'!$D$132&lt;-180,'Zed Mini'!G156-'Experimental Procedure'!$D$132 + 360,IF('Zed Mini'!G156-'Experimental Procedure'!$D$132&gt;180,'Zed Mini'!G156-'Experimental Procedure'!$D$132 - 360,'Zed Mini'!G156-'Experimental Procedure'!$D$132))</f>
        <v>-2.9023000000000252</v>
      </c>
      <c r="M156" s="90"/>
      <c r="N156" s="52" t="str">
        <f>IF('Experimental Procedure'!$E$132=0,"NaN",J156/'Experimental Procedure'!$E$132*100)</f>
        <v>NaN</v>
      </c>
      <c r="O156" s="93"/>
      <c r="P156" s="52">
        <f>IF('Experimental Procedure'!$F$132=0,"NaN",L156/'Experimental Procedure'!$F$132*100)</f>
        <v>-3.2247777777778057</v>
      </c>
      <c r="Q156" s="110"/>
    </row>
    <row r="157" spans="4:17" ht="15.75" thickBot="1" x14ac:dyDescent="0.3">
      <c r="D157" s="85"/>
      <c r="E157" s="10" t="s">
        <v>136</v>
      </c>
      <c r="F157" s="21">
        <v>-1.046334E-2</v>
      </c>
      <c r="G157" s="50">
        <v>3.4460760000000001</v>
      </c>
      <c r="H157" s="88"/>
      <c r="I157" s="91"/>
      <c r="J157" s="21">
        <f>'Zed Mini'!F157-'Experimental Procedure'!$C$133</f>
        <v>-1.046334E-2</v>
      </c>
      <c r="K157" s="88"/>
      <c r="L157" s="50">
        <f>IF('Zed Mini'!G157-'Experimental Procedure'!$D$133&lt;-180,'Zed Mini'!G157-'Experimental Procedure'!$D$133 + 360,IF('Zed Mini'!G157-'Experimental Procedure'!$D$133&gt;180,'Zed Mini'!G157-'Experimental Procedure'!$D$133 - 360,'Zed Mini'!G157-'Experimental Procedure'!$D$133))</f>
        <v>3.4460760000000001</v>
      </c>
      <c r="M157" s="91"/>
      <c r="N157" s="53" t="str">
        <f>IF('Experimental Procedure'!$E$133=0,"NaN",J157/'Experimental Procedure'!$E$133*100)</f>
        <v>NaN</v>
      </c>
      <c r="O157" s="94"/>
      <c r="P157" s="53" t="str">
        <f>IF('Experimental Procedure'!$F$133=0,"NaN",L157/'Experimental Procedure'!$F$133*100)</f>
        <v>NaN</v>
      </c>
      <c r="Q157" s="111"/>
    </row>
    <row r="158" spans="4:17" ht="15.75" thickBot="1" x14ac:dyDescent="0.3">
      <c r="D158" s="29" t="s">
        <v>148</v>
      </c>
      <c r="E158" s="29"/>
      <c r="F158" s="29"/>
    </row>
    <row r="159" spans="4:17" ht="15.75" thickBot="1" x14ac:dyDescent="0.3">
      <c r="D159" s="75" t="s">
        <v>177</v>
      </c>
      <c r="E159" s="76"/>
      <c r="F159" s="16" t="s">
        <v>137</v>
      </c>
      <c r="G159" s="23" t="s">
        <v>197</v>
      </c>
      <c r="H159" s="16" t="s">
        <v>178</v>
      </c>
      <c r="I159" s="16" t="s">
        <v>179</v>
      </c>
      <c r="J159" s="16" t="s">
        <v>143</v>
      </c>
      <c r="K159" s="34" t="s">
        <v>168</v>
      </c>
      <c r="L159" s="23" t="s">
        <v>144</v>
      </c>
      <c r="M159" s="12" t="s">
        <v>167</v>
      </c>
      <c r="N159" s="16" t="s">
        <v>141</v>
      </c>
      <c r="O159" s="16" t="s">
        <v>171</v>
      </c>
      <c r="P159" s="23" t="s">
        <v>142</v>
      </c>
      <c r="Q159" s="23" t="s">
        <v>172</v>
      </c>
    </row>
    <row r="160" spans="4:17" x14ac:dyDescent="0.25">
      <c r="D160" s="72" t="s">
        <v>180</v>
      </c>
      <c r="E160" s="35" t="s">
        <v>134</v>
      </c>
      <c r="F160" s="18">
        <v>5.9875889999999998</v>
      </c>
      <c r="G160" s="45">
        <v>0.3681256</v>
      </c>
      <c r="H160" s="86">
        <v>0</v>
      </c>
      <c r="I160" s="89">
        <v>0</v>
      </c>
      <c r="J160" s="17">
        <f>'Zed Mini'!F160-'Experimental Procedure'!$C$107</f>
        <v>-1.2411000000000172E-2</v>
      </c>
      <c r="K160" s="95">
        <f>SQRT(J160^2+J161^2+J162^2)</f>
        <v>1.3235990209099E-2</v>
      </c>
      <c r="L160" s="48">
        <f>IF('Zed Mini'!G160-'Experimental Procedure'!$D$107&lt;-180,'Zed Mini'!G160-'Experimental Procedure'!$D$107 + 360,IF('Zed Mini'!G160-'Experimental Procedure'!$D$107&gt;180,'Zed Mini'!G160-'Experimental Procedure'!$D$107 - 360,'Zed Mini'!G160-'Experimental Procedure'!$D$107))</f>
        <v>0.3681256</v>
      </c>
      <c r="M160" s="106">
        <v>3.9528735961628589</v>
      </c>
      <c r="N160" s="51" t="str">
        <f>IF('Experimental Procedure'!$E$107=0,"NaN",J160/'Experimental Procedure'!$E$107*100)</f>
        <v>NaN</v>
      </c>
      <c r="O160" s="92" t="str">
        <f>IF('Experimental Procedure'!$G$107=0,"NaN",'Zed Mini'!K160/'Experimental Procedure'!$G$107*100)</f>
        <v>NaN</v>
      </c>
      <c r="P160" s="51" t="str">
        <f>IF('Experimental Procedure'!$F$107=0,"NaN",L160/'Experimental Procedure'!$F$107*100)</f>
        <v>NaN</v>
      </c>
      <c r="Q160" s="109" t="str">
        <f>IF('Experimental Procedure'!$H$107=0,"NaN",'Zed Mini'!M160/'Experimental Procedure'!$H$107*100)</f>
        <v>NaN</v>
      </c>
    </row>
    <row r="161" spans="4:17" x14ac:dyDescent="0.25">
      <c r="D161" s="73"/>
      <c r="E161" s="35" t="s">
        <v>135</v>
      </c>
      <c r="F161" s="20">
        <v>1.395891</v>
      </c>
      <c r="G161" s="46">
        <v>1.287674</v>
      </c>
      <c r="H161" s="87"/>
      <c r="I161" s="90"/>
      <c r="J161" s="19">
        <f>'Zed Mini'!F161-'Experimental Procedure'!$C$108</f>
        <v>-4.1089999999999183E-3</v>
      </c>
      <c r="K161" s="96"/>
      <c r="L161" s="49">
        <f>IF('Zed Mini'!G161-'Experimental Procedure'!$D$108&lt;-180,'Zed Mini'!G161-'Experimental Procedure'!$D$108 + 360,IF('Zed Mini'!G161-'Experimental Procedure'!$D$108&gt;180,'Zed Mini'!G161-'Experimental Procedure'!$D$108 - 360,'Zed Mini'!G161-'Experimental Procedure'!$D$108))</f>
        <v>1.287674</v>
      </c>
      <c r="M161" s="107"/>
      <c r="N161" s="52" t="str">
        <f>IF('Experimental Procedure'!$E$108=0,"NaN",J161/'Experimental Procedure'!$E$108*100)</f>
        <v>NaN</v>
      </c>
      <c r="O161" s="93"/>
      <c r="P161" s="52" t="str">
        <f>IF('Experimental Procedure'!$F$108=0,"NaN",L161/'Experimental Procedure'!$F$108*100)</f>
        <v>NaN</v>
      </c>
      <c r="Q161" s="110"/>
    </row>
    <row r="162" spans="4:17" ht="15.75" thickBot="1" x14ac:dyDescent="0.3">
      <c r="D162" s="74"/>
      <c r="E162" s="36" t="s">
        <v>136</v>
      </c>
      <c r="F162" s="22">
        <v>-2.0675189999999999E-3</v>
      </c>
      <c r="G162" s="47">
        <v>3.723309</v>
      </c>
      <c r="H162" s="88"/>
      <c r="I162" s="91"/>
      <c r="J162" s="21">
        <f>'Zed Mini'!F162-'Experimental Procedure'!$C$109</f>
        <v>-2.0675189999999999E-3</v>
      </c>
      <c r="K162" s="97"/>
      <c r="L162" s="50">
        <f>IF('Zed Mini'!G162-'Experimental Procedure'!$D$109&lt;-180,'Zed Mini'!G162-'Experimental Procedure'!$D$109 + 360,IF('Zed Mini'!G162-'Experimental Procedure'!$D$109&gt;180,'Zed Mini'!G162-'Experimental Procedure'!$D$109 - 360,'Zed Mini'!G162-'Experimental Procedure'!$D$109))</f>
        <v>3.723309</v>
      </c>
      <c r="M162" s="108"/>
      <c r="N162" s="53" t="str">
        <f>IF('Experimental Procedure'!$E$109=0,"NaN",J162/'Experimental Procedure'!$E$109*100)</f>
        <v>NaN</v>
      </c>
      <c r="O162" s="94"/>
      <c r="P162" s="53" t="str">
        <f>IF('Experimental Procedure'!$F$109=0,"NaN",L162/'Experimental Procedure'!$F$109*100)</f>
        <v>NaN</v>
      </c>
      <c r="Q162" s="111"/>
    </row>
    <row r="163" spans="4:17" x14ac:dyDescent="0.25">
      <c r="D163" s="72" t="s">
        <v>189</v>
      </c>
      <c r="E163" s="8" t="s">
        <v>134</v>
      </c>
      <c r="F163" s="17">
        <v>6.0828670000000002</v>
      </c>
      <c r="G163" s="48">
        <v>359.41129999999998</v>
      </c>
      <c r="H163" s="86">
        <f>SQRT((F160-F163)^2+(F161-F164)^2+(F162-F165)^2)</f>
        <v>4.0304691788008471</v>
      </c>
      <c r="I163" s="89">
        <v>4.0314908807223508</v>
      </c>
      <c r="J163" s="17">
        <f>'Zed Mini'!F163-'Experimental Procedure'!$C$110</f>
        <v>8.2867000000000246E-2</v>
      </c>
      <c r="K163" s="86">
        <f t="shared" ref="K163" si="48">SQRT(J163^2+J164^2+J165^2)</f>
        <v>0.1547880135087987</v>
      </c>
      <c r="L163" s="48">
        <f>IF('Zed Mini'!G163-'Experimental Procedure'!$D$110&lt;-180,'Zed Mini'!G163-'Experimental Procedure'!$D$110 + 360,IF('Zed Mini'!G163-'Experimental Procedure'!$D$110&gt;180,'Zed Mini'!G163-'Experimental Procedure'!$D$110 - 360,'Zed Mini'!G163-'Experimental Procedure'!$D$110))</f>
        <v>-0.5887000000000171</v>
      </c>
      <c r="M163" s="89">
        <v>7.8432747071568594</v>
      </c>
      <c r="N163" s="51" t="str">
        <f>IF('Experimental Procedure'!$E$110=0,"NaN",J163/'Experimental Procedure'!$E$110*100)</f>
        <v>NaN</v>
      </c>
      <c r="O163" s="92">
        <f>IF('Experimental Procedure'!$G$110=0,"NaN",'Zed Mini'!K163/'Experimental Procedure'!$G$110*100)</f>
        <v>3.8697003377199675</v>
      </c>
      <c r="P163" s="51" t="str">
        <f>IF('Experimental Procedure'!$F$110=0,"NaN",L163/'Experimental Procedure'!$F$110*100)</f>
        <v>NaN</v>
      </c>
      <c r="Q163" s="109" t="str">
        <f>IF('Experimental Procedure'!$H$110=0,"NaN",'Zed Mini'!M163/'Experimental Procedure'!$H$110*100)</f>
        <v>NaN</v>
      </c>
    </row>
    <row r="164" spans="4:17" x14ac:dyDescent="0.25">
      <c r="D164" s="73"/>
      <c r="E164" s="9" t="s">
        <v>135</v>
      </c>
      <c r="F164" s="19">
        <v>1.5283059999999999</v>
      </c>
      <c r="G164" s="49">
        <v>1.775061</v>
      </c>
      <c r="H164" s="87"/>
      <c r="I164" s="90"/>
      <c r="J164" s="19">
        <f>'Zed Mini'!F164-'Experimental Procedure'!$C$111</f>
        <v>0.12830600000000003</v>
      </c>
      <c r="K164" s="87"/>
      <c r="L164" s="49">
        <f>IF('Zed Mini'!G164-'Experimental Procedure'!$D$111&lt;-180,'Zed Mini'!G164-'Experimental Procedure'!$D$111 + 360,IF('Zed Mini'!G164-'Experimental Procedure'!$D$111&gt;180,'Zed Mini'!G164-'Experimental Procedure'!$D$111 - 360,'Zed Mini'!G164-'Experimental Procedure'!$D$111))</f>
        <v>1.775061</v>
      </c>
      <c r="M164" s="90"/>
      <c r="N164" s="52" t="str">
        <f>IF('Experimental Procedure'!$E$111=0,"NaN",J164/'Experimental Procedure'!$E$111*100)</f>
        <v>NaN</v>
      </c>
      <c r="O164" s="93"/>
      <c r="P164" s="52" t="str">
        <f>IF('Experimental Procedure'!$F$111=0,"NaN",L164/'Experimental Procedure'!$F$111*100)</f>
        <v>NaN</v>
      </c>
      <c r="Q164" s="110"/>
    </row>
    <row r="165" spans="4:17" ht="15.75" thickBot="1" x14ac:dyDescent="0.3">
      <c r="D165" s="74"/>
      <c r="E165" s="10" t="s">
        <v>136</v>
      </c>
      <c r="F165" s="21">
        <v>4.025099</v>
      </c>
      <c r="G165" s="50">
        <v>7.608282</v>
      </c>
      <c r="H165" s="88"/>
      <c r="I165" s="91"/>
      <c r="J165" s="21">
        <f>'Zed Mini'!F165-'Experimental Procedure'!$C$112</f>
        <v>2.5098999999999982E-2</v>
      </c>
      <c r="K165" s="88"/>
      <c r="L165" s="50">
        <f>IF('Zed Mini'!G165-'Experimental Procedure'!$D$112&lt;-180,'Zed Mini'!G165-'Experimental Procedure'!$D$112 + 360,IF('Zed Mini'!G165-'Experimental Procedure'!$D$112&gt;180,'Zed Mini'!G165-'Experimental Procedure'!$D$112 - 360,'Zed Mini'!G165-'Experimental Procedure'!$D$112))</f>
        <v>7.608282</v>
      </c>
      <c r="M165" s="91"/>
      <c r="N165" s="53">
        <f>IF('Experimental Procedure'!$E$112=0,"NaN",J165/'Experimental Procedure'!$E$112*100)</f>
        <v>0.62747499999999956</v>
      </c>
      <c r="O165" s="94"/>
      <c r="P165" s="53" t="str">
        <f>IF('Experimental Procedure'!$F$112=0,"NaN",L165/'Experimental Procedure'!$F$112*100)</f>
        <v>NaN</v>
      </c>
      <c r="Q165" s="111"/>
    </row>
    <row r="166" spans="4:17" x14ac:dyDescent="0.25">
      <c r="D166" s="72" t="s">
        <v>191</v>
      </c>
      <c r="E166" s="8" t="s">
        <v>134</v>
      </c>
      <c r="F166" s="17">
        <v>5.9387800000000004</v>
      </c>
      <c r="G166" s="48">
        <v>0.48990509999999998</v>
      </c>
      <c r="H166" s="86">
        <f>SQRT((F163-F166)^2+(F164-F167)^2+(F165-F168)^2)</f>
        <v>0.29189070322639604</v>
      </c>
      <c r="I166" s="89">
        <v>91.772806839307478</v>
      </c>
      <c r="J166" s="17">
        <f>'Zed Mini'!F166-'Experimental Procedure'!$C$113</f>
        <v>-6.1219999999999608E-2</v>
      </c>
      <c r="K166" s="86">
        <f t="shared" ref="K166" si="49">SQRT(J166^2+J167^2+J168^2)</f>
        <v>0.24323194364638881</v>
      </c>
      <c r="L166" s="48">
        <f>IF('Zed Mini'!G166-'Experimental Procedure'!$D$113&lt;-180,'Zed Mini'!G166-'Experimental Procedure'!$D$113 + 360,IF('Zed Mini'!G166-'Experimental Procedure'!$D$113&gt;180,'Zed Mini'!G166-'Experimental Procedure'!$D$113 - 360,'Zed Mini'!G166-'Experimental Procedure'!$D$113))</f>
        <v>0.48990509999999998</v>
      </c>
      <c r="M166" s="89">
        <v>8.5756573067626203</v>
      </c>
      <c r="N166" s="51" t="str">
        <f>IF('Experimental Procedure'!$E$113=0,"NaN",J166/'Experimental Procedure'!$E$113*100)</f>
        <v>NaN</v>
      </c>
      <c r="O166" s="92" t="str">
        <f>IF('Experimental Procedure'!$G$113=0,"NaN",'Zed Mini'!K166/'Experimental Procedure'!$G$113*100)</f>
        <v>NaN</v>
      </c>
      <c r="P166" s="51" t="str">
        <f>IF('Experimental Procedure'!$F$113=0,"NaN",L166/'Experimental Procedure'!$F$113*100)</f>
        <v>NaN</v>
      </c>
      <c r="Q166" s="109">
        <f>IF('Experimental Procedure'!$H$113=0,"NaN",'Zed Mini'!M166/'Experimental Procedure'!$H$113*100)</f>
        <v>9.5285081186251332</v>
      </c>
    </row>
    <row r="167" spans="4:17" x14ac:dyDescent="0.25">
      <c r="D167" s="73"/>
      <c r="E167" s="9" t="s">
        <v>135</v>
      </c>
      <c r="F167" s="19">
        <v>1.4750810000000001</v>
      </c>
      <c r="G167" s="49">
        <v>270.0102</v>
      </c>
      <c r="H167" s="87"/>
      <c r="I167" s="90"/>
      <c r="J167" s="19">
        <f>'Zed Mini'!F167-'Experimental Procedure'!$C$114</f>
        <v>7.5081000000000175E-2</v>
      </c>
      <c r="K167" s="87"/>
      <c r="L167" s="49">
        <f>IF('Zed Mini'!G167-'Experimental Procedure'!$D$114&lt;-180,'Zed Mini'!G167-'Experimental Procedure'!$D$114 + 360,IF('Zed Mini'!G167-'Experimental Procedure'!$D$114&gt;180,'Zed Mini'!G167-'Experimental Procedure'!$D$114 - 360,'Zed Mini'!G167-'Experimental Procedure'!$D$114))</f>
        <v>1.0199999999997544E-2</v>
      </c>
      <c r="M167" s="90"/>
      <c r="N167" s="52" t="str">
        <f>IF('Experimental Procedure'!$E$114=0,"NaN",J167/'Experimental Procedure'!$E$114*100)</f>
        <v>NaN</v>
      </c>
      <c r="O167" s="93"/>
      <c r="P167" s="52">
        <f>IF('Experimental Procedure'!$F$114=0,"NaN",L167/'Experimental Procedure'!$F$114*100)</f>
        <v>1.1333333333330605E-2</v>
      </c>
      <c r="Q167" s="110"/>
    </row>
    <row r="168" spans="4:17" ht="15.75" thickBot="1" x14ac:dyDescent="0.3">
      <c r="D168" s="74"/>
      <c r="E168" s="10" t="s">
        <v>136</v>
      </c>
      <c r="F168" s="21">
        <v>3.7768929999999998</v>
      </c>
      <c r="G168" s="50">
        <v>8.5617160000000005</v>
      </c>
      <c r="H168" s="88"/>
      <c r="I168" s="91"/>
      <c r="J168" s="21">
        <f>'Zed Mini'!F168-'Experimental Procedure'!$C$115</f>
        <v>-0.22310700000000017</v>
      </c>
      <c r="K168" s="88"/>
      <c r="L168" s="50">
        <f>IF('Zed Mini'!G168-'Experimental Procedure'!$D$115&lt;-180,'Zed Mini'!G168-'Experimental Procedure'!$D$115 + 360,IF('Zed Mini'!G168-'Experimental Procedure'!$D$115&gt;180,'Zed Mini'!G168-'Experimental Procedure'!$D$115 - 360,'Zed Mini'!G168-'Experimental Procedure'!$D$115))</f>
        <v>8.5617160000000005</v>
      </c>
      <c r="M168" s="91"/>
      <c r="N168" s="53" t="str">
        <f>IF('Experimental Procedure'!$E$115=0,"NaN",J168/'Experimental Procedure'!$E$115*100)</f>
        <v>NaN</v>
      </c>
      <c r="O168" s="94"/>
      <c r="P168" s="53" t="str">
        <f>IF('Experimental Procedure'!$F$115=0,"NaN",L168/'Experimental Procedure'!$F$115*100)</f>
        <v>NaN</v>
      </c>
      <c r="Q168" s="111"/>
    </row>
    <row r="169" spans="4:17" x14ac:dyDescent="0.25">
      <c r="D169" s="72" t="s">
        <v>188</v>
      </c>
      <c r="E169" s="9" t="s">
        <v>134</v>
      </c>
      <c r="F169" s="17">
        <v>1.6514759999999999</v>
      </c>
      <c r="G169" s="48">
        <v>358.44929999999999</v>
      </c>
      <c r="H169" s="86">
        <f>SQRT((F166-F169)^2+(F167-F170)^2+(F168-F171)^2)</f>
        <v>4.3320983862439002</v>
      </c>
      <c r="I169" s="89">
        <v>4.5313011605559801</v>
      </c>
      <c r="J169" s="17">
        <f>'Zed Mini'!F169-'Experimental Procedure'!$C$116</f>
        <v>1.6514759999999999</v>
      </c>
      <c r="K169" s="86">
        <f t="shared" ref="K169" si="50">SQRT(J169^2+J170^2+J171^2)</f>
        <v>1.8033434828742416</v>
      </c>
      <c r="L169" s="48">
        <f>IF('Zed Mini'!G169-'Experimental Procedure'!$D$116&lt;-180,'Zed Mini'!G169-'Experimental Procedure'!$D$116 + 360,IF('Zed Mini'!G169-'Experimental Procedure'!$D$116&gt;180,'Zed Mini'!G169-'Experimental Procedure'!$D$116 - 360,'Zed Mini'!G169-'Experimental Procedure'!$D$116))</f>
        <v>-1.5507000000000062</v>
      </c>
      <c r="M169" s="89">
        <v>6.0911692100041579</v>
      </c>
      <c r="N169" s="51">
        <f>IF('Experimental Procedure'!$E$116=0,"NaN",J169/'Experimental Procedure'!$E$116*100)</f>
        <v>27.5246</v>
      </c>
      <c r="O169" s="92">
        <f>IF('Experimental Procedure'!$G$116=0,"NaN",'Zed Mini'!K169/'Experimental Procedure'!$G$116*100)</f>
        <v>30.05572471457069</v>
      </c>
      <c r="P169" s="51" t="str">
        <f>IF('Experimental Procedure'!$F$116=0,"NaN",L169/'Experimental Procedure'!$F$116*100)</f>
        <v>NaN</v>
      </c>
      <c r="Q169" s="109" t="str">
        <f>IF('Experimental Procedure'!$H$116=0,"NaN",'Zed Mini'!M169/'Experimental Procedure'!$H$116*100)</f>
        <v>NaN</v>
      </c>
    </row>
    <row r="170" spans="4:17" x14ac:dyDescent="0.25">
      <c r="D170" s="73"/>
      <c r="E170" s="9" t="s">
        <v>135</v>
      </c>
      <c r="F170" s="19">
        <v>2.0960399999999999</v>
      </c>
      <c r="G170" s="49">
        <v>272.46080000000001</v>
      </c>
      <c r="H170" s="87"/>
      <c r="I170" s="90"/>
      <c r="J170" s="19">
        <f>'Zed Mini'!F170-'Experimental Procedure'!$C$117</f>
        <v>0.69603999999999999</v>
      </c>
      <c r="K170" s="87"/>
      <c r="L170" s="49">
        <f>IF('Zed Mini'!G170-'Experimental Procedure'!$D$117&lt;-180,'Zed Mini'!G170-'Experimental Procedure'!$D$117 + 360,IF('Zed Mini'!G170-'Experimental Procedure'!$D$117&gt;180,'Zed Mini'!G170-'Experimental Procedure'!$D$117 - 360,'Zed Mini'!G170-'Experimental Procedure'!$D$117))</f>
        <v>2.4608000000000061</v>
      </c>
      <c r="M170" s="90"/>
      <c r="N170" s="52" t="str">
        <f>IF('Experimental Procedure'!$E$117=0,"NaN",J170/'Experimental Procedure'!$E$117*100)</f>
        <v>NaN</v>
      </c>
      <c r="O170" s="93"/>
      <c r="P170" s="52" t="str">
        <f>IF('Experimental Procedure'!$F$117=0,"NaN",L170/'Experimental Procedure'!$F$117*100)</f>
        <v>NaN</v>
      </c>
      <c r="Q170" s="110"/>
    </row>
    <row r="171" spans="4:17" ht="15.75" thickBot="1" x14ac:dyDescent="0.3">
      <c r="D171" s="74"/>
      <c r="E171" s="10" t="s">
        <v>136</v>
      </c>
      <c r="F171" s="21">
        <v>3.799493</v>
      </c>
      <c r="G171" s="50">
        <v>5.3192399999999997</v>
      </c>
      <c r="H171" s="88"/>
      <c r="I171" s="91"/>
      <c r="J171" s="21">
        <f>'Zed Mini'!F171-'Experimental Procedure'!$C$118</f>
        <v>-0.20050699999999999</v>
      </c>
      <c r="K171" s="88"/>
      <c r="L171" s="50">
        <f>IF('Zed Mini'!G171-'Experimental Procedure'!$D$118&lt;-180,'Zed Mini'!G171-'Experimental Procedure'!$D$118 + 360,IF('Zed Mini'!G171-'Experimental Procedure'!$D$118&gt;180,'Zed Mini'!G171-'Experimental Procedure'!$D$118 - 360,'Zed Mini'!G171-'Experimental Procedure'!$D$118))</f>
        <v>5.3192399999999997</v>
      </c>
      <c r="M171" s="91"/>
      <c r="N171" s="53" t="str">
        <f>IF('Experimental Procedure'!$E$118=0,"NaN",J171/'Experimental Procedure'!$E$118*100)</f>
        <v>NaN</v>
      </c>
      <c r="O171" s="94"/>
      <c r="P171" s="53" t="str">
        <f>IF('Experimental Procedure'!$F$118=0,"NaN",L171/'Experimental Procedure'!$F$118*100)</f>
        <v>NaN</v>
      </c>
      <c r="Q171" s="111"/>
    </row>
    <row r="172" spans="4:17" x14ac:dyDescent="0.25">
      <c r="D172" s="72" t="s">
        <v>191</v>
      </c>
      <c r="E172" s="8" t="s">
        <v>134</v>
      </c>
      <c r="F172" s="17">
        <v>0.86363599999999996</v>
      </c>
      <c r="G172" s="48">
        <v>1.1299520000000001</v>
      </c>
      <c r="H172" s="86">
        <f>SQRT((F169-F172)^2+(F170-F173)^2+(F171-F174)^2)</f>
        <v>0.96347726177632242</v>
      </c>
      <c r="I172" s="89">
        <v>99.402722334803499</v>
      </c>
      <c r="J172" s="17">
        <f>'Zed Mini'!F172-'Experimental Procedure'!$C$119</f>
        <v>0.86363599999999996</v>
      </c>
      <c r="K172" s="86">
        <f t="shared" ref="K172" si="51">SQRT(J172^2+J173^2+J174^2)</f>
        <v>1.3221309524782332</v>
      </c>
      <c r="L172" s="48">
        <f>IF('Zed Mini'!G172-'Experimental Procedure'!$D$119&lt;-180,'Zed Mini'!G172-'Experimental Procedure'!$D$119 + 360,IF('Zed Mini'!G172-'Experimental Procedure'!$D$119&gt;180,'Zed Mini'!G172-'Experimental Procedure'!$D$119 - 360,'Zed Mini'!G172-'Experimental Procedure'!$D$119))</f>
        <v>1.1299520000000001</v>
      </c>
      <c r="M172" s="89">
        <v>9.5584240899691064</v>
      </c>
      <c r="N172" s="51" t="str">
        <f>IF('Experimental Procedure'!$E$119=0,"NaN",J172/'Experimental Procedure'!$E$119*100)</f>
        <v>NaN</v>
      </c>
      <c r="O172" s="92" t="str">
        <f>IF('Experimental Procedure'!$G$119=0,"NaN",'Zed Mini'!K172/'Experimental Procedure'!$G$119*100)</f>
        <v>NaN</v>
      </c>
      <c r="P172" s="51" t="str">
        <f>IF('Experimental Procedure'!$F$119=0,"NaN",L172/'Experimental Procedure'!$F$119*100)</f>
        <v>NaN</v>
      </c>
      <c r="Q172" s="109">
        <f>IF('Experimental Procedure'!$H$119=0,"NaN",'Zed Mini'!M172/'Experimental Procedure'!$H$119*100)</f>
        <v>10.620471211076786</v>
      </c>
    </row>
    <row r="173" spans="4:17" x14ac:dyDescent="0.25">
      <c r="D173" s="73"/>
      <c r="E173" s="9" t="s">
        <v>135</v>
      </c>
      <c r="F173" s="19">
        <v>2.058678</v>
      </c>
      <c r="G173" s="49">
        <v>173.08519999999999</v>
      </c>
      <c r="H173" s="87"/>
      <c r="I173" s="90"/>
      <c r="J173" s="19">
        <f>'Zed Mini'!F173-'Experimental Procedure'!$C$120</f>
        <v>0.6586780000000001</v>
      </c>
      <c r="K173" s="87"/>
      <c r="L173" s="49">
        <f>IF('Zed Mini'!G173-'Experimental Procedure'!$D$120&lt;-180,'Zed Mini'!G173-'Experimental Procedure'!$D$120 + 360,IF('Zed Mini'!G173-'Experimental Procedure'!$D$120&gt;180,'Zed Mini'!G173-'Experimental Procedure'!$D$120 - 360,'Zed Mini'!G173-'Experimental Procedure'!$D$120))</f>
        <v>-6.9148000000000138</v>
      </c>
      <c r="M173" s="90"/>
      <c r="N173" s="52" t="str">
        <f>IF('Experimental Procedure'!$E$120=0,"NaN",J173/'Experimental Procedure'!$E$120*100)</f>
        <v>NaN</v>
      </c>
      <c r="O173" s="93"/>
      <c r="P173" s="52">
        <f>IF('Experimental Procedure'!$F$120=0,"NaN",L173/'Experimental Procedure'!$F$120*100)</f>
        <v>-7.6831111111111268</v>
      </c>
      <c r="Q173" s="110"/>
    </row>
    <row r="174" spans="4:17" ht="15.75" thickBot="1" x14ac:dyDescent="0.3">
      <c r="D174" s="74"/>
      <c r="E174" s="10" t="s">
        <v>136</v>
      </c>
      <c r="F174" s="21">
        <v>3.2461389999999999</v>
      </c>
      <c r="G174" s="50">
        <v>6.4379730000000004</v>
      </c>
      <c r="H174" s="88"/>
      <c r="I174" s="91"/>
      <c r="J174" s="21">
        <f>'Zed Mini'!F174-'Experimental Procedure'!$C$121</f>
        <v>-0.75386100000000011</v>
      </c>
      <c r="K174" s="88"/>
      <c r="L174" s="50">
        <f>IF('Zed Mini'!G174-'Experimental Procedure'!$D$121&lt;-180,'Zed Mini'!G174-'Experimental Procedure'!$D$121 + 360,IF('Zed Mini'!G174-'Experimental Procedure'!$D$121&gt;180,'Zed Mini'!G174-'Experimental Procedure'!$D$121 - 360,'Zed Mini'!G174-'Experimental Procedure'!$D$121))</f>
        <v>6.4379730000000004</v>
      </c>
      <c r="M174" s="91"/>
      <c r="N174" s="53" t="str">
        <f>IF('Experimental Procedure'!$E$121=0,"NaN",J174/'Experimental Procedure'!$E$121*100)</f>
        <v>NaN</v>
      </c>
      <c r="O174" s="94"/>
      <c r="P174" s="53" t="str">
        <f>IF('Experimental Procedure'!$F$121=0,"NaN",L174/'Experimental Procedure'!$F$121*100)</f>
        <v>NaN</v>
      </c>
      <c r="Q174" s="111"/>
    </row>
    <row r="175" spans="4:17" x14ac:dyDescent="0.25">
      <c r="D175" s="72" t="s">
        <v>190</v>
      </c>
      <c r="E175" s="8" t="s">
        <v>134</v>
      </c>
      <c r="F175" s="17">
        <v>1.2732559999999999</v>
      </c>
      <c r="G175" s="48">
        <v>0.6187317</v>
      </c>
      <c r="H175" s="86">
        <f>SQRT((F172-F175)^2+(F173-F176)^2+(F174-F177)^2)</f>
        <v>2.3751190484910434</v>
      </c>
      <c r="I175" s="89">
        <v>4.2632253523521459</v>
      </c>
      <c r="J175" s="17">
        <f>'Zed Mini'!F175-'Experimental Procedure'!$C$122</f>
        <v>1.2732559999999999</v>
      </c>
      <c r="K175" s="86">
        <f t="shared" ref="K175" si="52">SQRT(J175^2+J176^2+J177^2)</f>
        <v>1.634214141406199</v>
      </c>
      <c r="L175" s="48">
        <f>IF('Zed Mini'!G175-'Experimental Procedure'!$D$122&lt;-180,'Zed Mini'!G175-'Experimental Procedure'!$D$122 + 360,IF('Zed Mini'!G175-'Experimental Procedure'!$D$122&gt;180,'Zed Mini'!G175-'Experimental Procedure'!$D$122 - 360,'Zed Mini'!G175-'Experimental Procedure'!$D$122))</f>
        <v>0.6187317</v>
      </c>
      <c r="M175" s="89">
        <v>5.7144572533975557</v>
      </c>
      <c r="N175" s="51" t="str">
        <f>IF('Experimental Procedure'!$E$122=0,"NaN",J175/'Experimental Procedure'!$E$122*100)</f>
        <v>NaN</v>
      </c>
      <c r="O175" s="92">
        <f>IF('Experimental Procedure'!$G$122=0,"NaN",'Zed Mini'!K175/'Experimental Procedure'!$G$122*100)</f>
        <v>40.855353535154975</v>
      </c>
      <c r="P175" s="51" t="str">
        <f>IF('Experimental Procedure'!$F$122=0,"NaN",L175/'Experimental Procedure'!$F$122*100)</f>
        <v>NaN</v>
      </c>
      <c r="Q175" s="109" t="str">
        <f>IF('Experimental Procedure'!$H$122=0,"NaN",'Zed Mini'!M175/'Experimental Procedure'!$H$122*100)</f>
        <v>NaN</v>
      </c>
    </row>
    <row r="176" spans="4:17" x14ac:dyDescent="0.25">
      <c r="D176" s="73"/>
      <c r="E176" s="9" t="s">
        <v>135</v>
      </c>
      <c r="F176" s="19">
        <v>1.860706</v>
      </c>
      <c r="G176" s="49">
        <v>176.95410000000001</v>
      </c>
      <c r="H176" s="87"/>
      <c r="I176" s="90"/>
      <c r="J176" s="19">
        <f>'Zed Mini'!F176-'Experimental Procedure'!$C$123</f>
        <v>0.46070600000000006</v>
      </c>
      <c r="K176" s="87"/>
      <c r="L176" s="49">
        <f>IF('Zed Mini'!G176-'Experimental Procedure'!$D$123&lt;-180,'Zed Mini'!G176-'Experimental Procedure'!$D$123 + 360,IF('Zed Mini'!G176-'Experimental Procedure'!$D$123&gt;180,'Zed Mini'!G176-'Experimental Procedure'!$D$123 - 360,'Zed Mini'!G176-'Experimental Procedure'!$D$123))</f>
        <v>-3.0458999999999889</v>
      </c>
      <c r="M176" s="90"/>
      <c r="N176" s="52" t="str">
        <f>IF('Experimental Procedure'!$E$123=0,"NaN",J176/'Experimental Procedure'!$E$123*100)</f>
        <v>NaN</v>
      </c>
      <c r="O176" s="93"/>
      <c r="P176" s="52" t="str">
        <f>IF('Experimental Procedure'!$F$123=0,"NaN",L176/'Experimental Procedure'!$F$123*100)</f>
        <v>NaN</v>
      </c>
      <c r="Q176" s="110"/>
    </row>
    <row r="177" spans="4:17" ht="15.75" thickBot="1" x14ac:dyDescent="0.3">
      <c r="D177" s="74"/>
      <c r="E177" s="10" t="s">
        <v>136</v>
      </c>
      <c r="F177" s="21">
        <v>0.91500000000000004</v>
      </c>
      <c r="G177" s="50">
        <v>4.7794530000000002</v>
      </c>
      <c r="H177" s="88"/>
      <c r="I177" s="91"/>
      <c r="J177" s="21">
        <f>'Zed Mini'!F177-'Experimental Procedure'!$C$124</f>
        <v>0.91500000000000004</v>
      </c>
      <c r="K177" s="88"/>
      <c r="L177" s="50">
        <f>IF('Zed Mini'!G177-'Experimental Procedure'!$D$124&lt;-180,'Zed Mini'!G177-'Experimental Procedure'!$D$124 + 360,IF('Zed Mini'!G177-'Experimental Procedure'!$D$124&gt;180,'Zed Mini'!G177-'Experimental Procedure'!$D$124 - 360,'Zed Mini'!G177-'Experimental Procedure'!$D$124))</f>
        <v>4.7794530000000002</v>
      </c>
      <c r="M177" s="91"/>
      <c r="N177" s="53">
        <f>IF('Experimental Procedure'!$E$124=0,"NaN",J177/'Experimental Procedure'!$E$124*100)</f>
        <v>22.875</v>
      </c>
      <c r="O177" s="94"/>
      <c r="P177" s="53" t="str">
        <f>IF('Experimental Procedure'!$F$124=0,"NaN",L177/'Experimental Procedure'!$F$124*100)</f>
        <v>NaN</v>
      </c>
      <c r="Q177" s="111"/>
    </row>
    <row r="178" spans="4:17" x14ac:dyDescent="0.25">
      <c r="D178" s="72" t="s">
        <v>191</v>
      </c>
      <c r="E178" s="8" t="s">
        <v>134</v>
      </c>
      <c r="F178" s="17">
        <v>1.301525</v>
      </c>
      <c r="G178" s="48">
        <v>1.203959</v>
      </c>
      <c r="H178" s="86">
        <f>SQRT((F175-F178)^2+(F176-F179)^2+(F177-F180)^2)</f>
        <v>9.381539898119072E-2</v>
      </c>
      <c r="I178" s="89">
        <v>94.994874182005418</v>
      </c>
      <c r="J178" s="17">
        <f>'Zed Mini'!F178-'Experimental Procedure'!$C$125</f>
        <v>1.301525</v>
      </c>
      <c r="K178" s="86">
        <f t="shared" ref="K178" si="53">SQRT(J178^2+J179^2+J180^2)</f>
        <v>1.7098442464441024</v>
      </c>
      <c r="L178" s="48">
        <f>IF('Zed Mini'!G178-'Experimental Procedure'!$D$125&lt;-180,'Zed Mini'!G178-'Experimental Procedure'!$D$125 + 360,IF('Zed Mini'!G178-'Experimental Procedure'!$D$125&gt;180,'Zed Mini'!G178-'Experimental Procedure'!$D$125 - 360,'Zed Mini'!G178-'Experimental Procedure'!$D$125))</f>
        <v>1.203959</v>
      </c>
      <c r="M178" s="89">
        <v>9.9964206467966132</v>
      </c>
      <c r="N178" s="51" t="str">
        <f>IF('Experimental Procedure'!$E$125=0,"NaN",J178/'Experimental Procedure'!$E$125*100)</f>
        <v>NaN</v>
      </c>
      <c r="O178" s="92" t="str">
        <f>IF('Experimental Procedure'!$G$125=0,"NaN",'Zed Mini'!K178/'Experimental Procedure'!$G$125*100)</f>
        <v>NaN</v>
      </c>
      <c r="P178" s="51" t="str">
        <f>IF('Experimental Procedure'!$F$125=0,"NaN",L178/'Experimental Procedure'!$F$125*100)</f>
        <v>NaN</v>
      </c>
      <c r="Q178" s="109">
        <f>IF('Experimental Procedure'!$H$125=0,"NaN",'Zed Mini'!M178/'Experimental Procedure'!$H$125*100)</f>
        <v>11.107134051996237</v>
      </c>
    </row>
    <row r="179" spans="4:17" x14ac:dyDescent="0.25">
      <c r="D179" s="73"/>
      <c r="E179" s="9" t="s">
        <v>135</v>
      </c>
      <c r="F179" s="19">
        <v>1.871032</v>
      </c>
      <c r="G179" s="49">
        <v>81.980180000000004</v>
      </c>
      <c r="H179" s="87"/>
      <c r="I179" s="90"/>
      <c r="J179" s="19">
        <f>'Zed Mini'!F179-'Experimental Procedure'!$C$126</f>
        <v>0.47103200000000012</v>
      </c>
      <c r="K179" s="87"/>
      <c r="L179" s="49">
        <f>IF('Zed Mini'!G179-'Experimental Procedure'!$D$126&lt;-180,'Zed Mini'!G179-'Experimental Procedure'!$D$126 + 360,IF('Zed Mini'!G179-'Experimental Procedure'!$D$126&gt;180,'Zed Mini'!G179-'Experimental Procedure'!$D$126 - 360,'Zed Mini'!G179-'Experimental Procedure'!$D$126))</f>
        <v>-8.0198199999999957</v>
      </c>
      <c r="M179" s="90"/>
      <c r="N179" s="52" t="str">
        <f>IF('Experimental Procedure'!$E$126=0,"NaN",J179/'Experimental Procedure'!$E$126*100)</f>
        <v>NaN</v>
      </c>
      <c r="O179" s="93"/>
      <c r="P179" s="52">
        <f>IF('Experimental Procedure'!$F$126=0,"NaN",L179/'Experimental Procedure'!$F$126*100)</f>
        <v>-8.9109111111111066</v>
      </c>
      <c r="Q179" s="110"/>
    </row>
    <row r="180" spans="4:17" ht="15.75" thickBot="1" x14ac:dyDescent="0.3">
      <c r="D180" s="74"/>
      <c r="E180" s="10" t="s">
        <v>136</v>
      </c>
      <c r="F180" s="21">
        <v>1.003857</v>
      </c>
      <c r="G180" s="50">
        <v>5.7660720000000003</v>
      </c>
      <c r="H180" s="88"/>
      <c r="I180" s="91"/>
      <c r="J180" s="21">
        <f>'Zed Mini'!F180-'Experimental Procedure'!$C$127</f>
        <v>1.003857</v>
      </c>
      <c r="K180" s="88"/>
      <c r="L180" s="50">
        <f>IF('Zed Mini'!G180-'Experimental Procedure'!$D$127&lt;-180,'Zed Mini'!G180-'Experimental Procedure'!$D$127 + 360,IF('Zed Mini'!G180-'Experimental Procedure'!$D$127&gt;180,'Zed Mini'!G180-'Experimental Procedure'!$D$127 - 360,'Zed Mini'!G180-'Experimental Procedure'!$D$127))</f>
        <v>5.7660720000000003</v>
      </c>
      <c r="M180" s="91"/>
      <c r="N180" s="53" t="str">
        <f>IF('Experimental Procedure'!$E$127=0,"NaN",J180/'Experimental Procedure'!$E$127*100)</f>
        <v>NaN</v>
      </c>
      <c r="O180" s="94"/>
      <c r="P180" s="53" t="str">
        <f>IF('Experimental Procedure'!$F$127=0,"NaN",L180/'Experimental Procedure'!$F$127*100)</f>
        <v>NaN</v>
      </c>
      <c r="Q180" s="111"/>
    </row>
    <row r="181" spans="4:17" x14ac:dyDescent="0.25">
      <c r="D181" s="72" t="s">
        <v>180</v>
      </c>
      <c r="E181" s="8" t="s">
        <v>134</v>
      </c>
      <c r="F181" s="17">
        <v>7.0308359999999999</v>
      </c>
      <c r="G181" s="48">
        <v>2.1427399999999999</v>
      </c>
      <c r="H181" s="86">
        <f>SQRT((F178-F181)^2+(F179-F182)^2+(F180-F183)^2)</f>
        <v>5.8267538153872609</v>
      </c>
      <c r="I181" s="89">
        <v>3.5590511237560905</v>
      </c>
      <c r="J181" s="17">
        <f>'Zed Mini'!F181-'Experimental Procedure'!$C$128</f>
        <v>1.0308359999999999</v>
      </c>
      <c r="K181" s="86">
        <f t="shared" ref="K181" si="54">SQRT(J181^2+J182^2+J183^2)</f>
        <v>2.3856176230087671</v>
      </c>
      <c r="L181" s="48">
        <f>IF('Zed Mini'!G181-'Experimental Procedure'!$D$128&lt;-180,'Zed Mini'!G181-'Experimental Procedure'!$D$128 + 360,IF('Zed Mini'!G181-'Experimental Procedure'!$D$128&gt;180,'Zed Mini'!G181-'Experimental Procedure'!$D$128 - 360,'Zed Mini'!G181-'Experimental Procedure'!$D$128))</f>
        <v>2.1427399999999999</v>
      </c>
      <c r="M181" s="89">
        <v>8.2727854373912937</v>
      </c>
      <c r="N181" s="51">
        <f>IF('Experimental Procedure'!$E$128=0,"NaN",J181/'Experimental Procedure'!$E$128*100)</f>
        <v>17.180599999999998</v>
      </c>
      <c r="O181" s="92">
        <f>IF('Experimental Procedure'!$G$128=0,"NaN",'Zed Mini'!K181/'Experimental Procedure'!$G$128*100)</f>
        <v>39.760293716812782</v>
      </c>
      <c r="P181" s="51" t="str">
        <f>IF('Experimental Procedure'!$F$128=0,"NaN",L181/'Experimental Procedure'!$F$128*100)</f>
        <v>NaN</v>
      </c>
      <c r="Q181" s="109" t="str">
        <f>IF('Experimental Procedure'!$H$128=0,"NaN",'Zed Mini'!M181/'Experimental Procedure'!$H$128*100)</f>
        <v>NaN</v>
      </c>
    </row>
    <row r="182" spans="4:17" x14ac:dyDescent="0.25">
      <c r="D182" s="73"/>
      <c r="E182" s="9" t="s">
        <v>135</v>
      </c>
      <c r="F182" s="19">
        <v>2.5554670000000002</v>
      </c>
      <c r="G182" s="49">
        <v>82.413269999999997</v>
      </c>
      <c r="H182" s="87"/>
      <c r="I182" s="90"/>
      <c r="J182" s="19">
        <f>'Zed Mini'!F182-'Experimental Procedure'!$C$129</f>
        <v>1.1554670000000002</v>
      </c>
      <c r="K182" s="87"/>
      <c r="L182" s="49">
        <f>IF('Zed Mini'!G182-'Experimental Procedure'!$D$129&lt;-180,'Zed Mini'!G182-'Experimental Procedure'!$D$129 + 360,IF('Zed Mini'!G182-'Experimental Procedure'!$D$129&gt;180,'Zed Mini'!G182-'Experimental Procedure'!$D$129 - 360,'Zed Mini'!G182-'Experimental Procedure'!$D$129))</f>
        <v>-7.5867300000000029</v>
      </c>
      <c r="M182" s="90"/>
      <c r="N182" s="52" t="str">
        <f>IF('Experimental Procedure'!$E$129=0,"NaN",J182/'Experimental Procedure'!$E$129*100)</f>
        <v>NaN</v>
      </c>
      <c r="O182" s="93"/>
      <c r="P182" s="52" t="str">
        <f>IF('Experimental Procedure'!$F$129=0,"NaN",L182/'Experimental Procedure'!$F$129*100)</f>
        <v>NaN</v>
      </c>
      <c r="Q182" s="110"/>
    </row>
    <row r="183" spans="4:17" ht="15.75" thickBot="1" x14ac:dyDescent="0.3">
      <c r="D183" s="74"/>
      <c r="E183" s="10" t="s">
        <v>136</v>
      </c>
      <c r="F183" s="21">
        <v>1.8147850000000001</v>
      </c>
      <c r="G183" s="50">
        <v>2.3730699999999998</v>
      </c>
      <c r="H183" s="88"/>
      <c r="I183" s="91"/>
      <c r="J183" s="21">
        <f>'Zed Mini'!F183-'Experimental Procedure'!$C$130</f>
        <v>1.8147850000000001</v>
      </c>
      <c r="K183" s="88"/>
      <c r="L183" s="50">
        <f>IF('Zed Mini'!G183-'Experimental Procedure'!$D$130&lt;-180,'Zed Mini'!G183-'Experimental Procedure'!$D$130 + 360,IF('Zed Mini'!G183-'Experimental Procedure'!$D$130&gt;180,'Zed Mini'!G183-'Experimental Procedure'!$D$130 - 360,'Zed Mini'!G183-'Experimental Procedure'!$D$130))</f>
        <v>2.3730699999999998</v>
      </c>
      <c r="M183" s="91"/>
      <c r="N183" s="53" t="str">
        <f>IF('Experimental Procedure'!$E$130=0,"NaN",J183/'Experimental Procedure'!$E$130*100)</f>
        <v>NaN</v>
      </c>
      <c r="O183" s="94"/>
      <c r="P183" s="53" t="str">
        <f>IF('Experimental Procedure'!$F$130=0,"NaN",L183/'Experimental Procedure'!$F$130*100)</f>
        <v>NaN</v>
      </c>
      <c r="Q183" s="111"/>
    </row>
    <row r="184" spans="4:17" x14ac:dyDescent="0.25">
      <c r="D184" s="83" t="s">
        <v>192</v>
      </c>
      <c r="E184" s="8" t="s">
        <v>134</v>
      </c>
      <c r="F184" s="17">
        <v>5.9803059999999997</v>
      </c>
      <c r="G184" s="48">
        <v>1.5254700000000001</v>
      </c>
      <c r="H184" s="86">
        <f>SQRT((F181-F184)^2+(F182-F185)^2+(F183-F186)^2)</f>
        <v>2.4022019020243754</v>
      </c>
      <c r="I184" s="89">
        <v>82.291207960252635</v>
      </c>
      <c r="J184" s="17">
        <f>'Zed Mini'!F184-'Experimental Procedure'!$C$131</f>
        <v>-1.9694000000000322E-2</v>
      </c>
      <c r="K184" s="86">
        <f t="shared" ref="K184" si="55">SQRT(J184^2+J185^2+J186^2)</f>
        <v>2.2394366861931352E-2</v>
      </c>
      <c r="L184" s="48">
        <f>IF('Zed Mini'!G184-'Experimental Procedure'!$D$131&lt;-180,'Zed Mini'!G184-'Experimental Procedure'!$D$131 + 360,IF('Zed Mini'!G184-'Experimental Procedure'!$D$131&gt;180,'Zed Mini'!G184-'Experimental Procedure'!$D$131 - 360,'Zed Mini'!G184-'Experimental Procedure'!$D$131))</f>
        <v>1.5254700000000001</v>
      </c>
      <c r="M184" s="89">
        <v>4.3517668854097025</v>
      </c>
      <c r="N184" s="51" t="str">
        <f>IF('Experimental Procedure'!$E$131=0,"NaN",J184/'Experimental Procedure'!$E$131*100)</f>
        <v>NaN</v>
      </c>
      <c r="O184" s="92" t="str">
        <f>IF('Experimental Procedure'!$G$131=0,"NaN",'Zed Mini'!K184/'Experimental Procedure'!$G$131*100)</f>
        <v>NaN</v>
      </c>
      <c r="P184" s="51" t="str">
        <f>IF('Experimental Procedure'!$F$131=0,"NaN",L184/'Experimental Procedure'!$F$131*100)</f>
        <v>NaN</v>
      </c>
      <c r="Q184" s="109">
        <f>IF('Experimental Procedure'!$H$131=0,"NaN",'Zed Mini'!M184/'Experimental Procedure'!$H$131*100)</f>
        <v>4.8352965393441147</v>
      </c>
    </row>
    <row r="185" spans="4:17" x14ac:dyDescent="0.25">
      <c r="D185" s="84"/>
      <c r="E185" s="9" t="s">
        <v>135</v>
      </c>
      <c r="F185" s="19">
        <v>1.3902699999999999</v>
      </c>
      <c r="G185" s="49">
        <v>0.19283320000000001</v>
      </c>
      <c r="H185" s="87"/>
      <c r="I185" s="90"/>
      <c r="J185" s="19">
        <f>'Zed Mini'!F185-'Experimental Procedure'!$C$132</f>
        <v>-9.7300000000000164E-3</v>
      </c>
      <c r="K185" s="87"/>
      <c r="L185" s="49">
        <f>IF('Zed Mini'!G185-'Experimental Procedure'!$D$132&lt;-180,'Zed Mini'!G185-'Experimental Procedure'!$D$132 + 360,IF('Zed Mini'!G185-'Experimental Procedure'!$D$132&gt;180,'Zed Mini'!G185-'Experimental Procedure'!$D$132 - 360,'Zed Mini'!G185-'Experimental Procedure'!$D$132))</f>
        <v>0.19283320000000001</v>
      </c>
      <c r="M185" s="90"/>
      <c r="N185" s="52" t="str">
        <f>IF('Experimental Procedure'!$E$132=0,"NaN",J185/'Experimental Procedure'!$E$132*100)</f>
        <v>NaN</v>
      </c>
      <c r="O185" s="93"/>
      <c r="P185" s="52">
        <f>IF('Experimental Procedure'!$F$132=0,"NaN",L185/'Experimental Procedure'!$F$132*100)</f>
        <v>0.21425911111111112</v>
      </c>
      <c r="Q185" s="110"/>
    </row>
    <row r="186" spans="4:17" ht="15.75" thickBot="1" x14ac:dyDescent="0.3">
      <c r="D186" s="85"/>
      <c r="E186" s="10" t="s">
        <v>136</v>
      </c>
      <c r="F186" s="21">
        <v>-4.3567340000000001E-3</v>
      </c>
      <c r="G186" s="50">
        <v>4.0737629999999996</v>
      </c>
      <c r="H186" s="88"/>
      <c r="I186" s="91"/>
      <c r="J186" s="21">
        <f>'Zed Mini'!F186-'Experimental Procedure'!$C$133</f>
        <v>-4.3567340000000001E-3</v>
      </c>
      <c r="K186" s="88"/>
      <c r="L186" s="50">
        <f>IF('Zed Mini'!G186-'Experimental Procedure'!$D$133&lt;-180,'Zed Mini'!G186-'Experimental Procedure'!$D$133 + 360,IF('Zed Mini'!G186-'Experimental Procedure'!$D$133&gt;180,'Zed Mini'!G186-'Experimental Procedure'!$D$133 - 360,'Zed Mini'!G186-'Experimental Procedure'!$D$133))</f>
        <v>4.0737629999999996</v>
      </c>
      <c r="M186" s="91"/>
      <c r="N186" s="53" t="str">
        <f>IF('Experimental Procedure'!$E$133=0,"NaN",J186/'Experimental Procedure'!$E$133*100)</f>
        <v>NaN</v>
      </c>
      <c r="O186" s="94"/>
      <c r="P186" s="53" t="str">
        <f>IF('Experimental Procedure'!$F$133=0,"NaN",L186/'Experimental Procedure'!$F$133*100)</f>
        <v>NaN</v>
      </c>
      <c r="Q186" s="111"/>
    </row>
    <row r="187" spans="4:17" x14ac:dyDescent="0.25">
      <c r="D187" s="72" t="s">
        <v>189</v>
      </c>
      <c r="E187" s="8" t="s">
        <v>134</v>
      </c>
      <c r="F187" s="17">
        <v>6.1256890000000004</v>
      </c>
      <c r="G187" s="48">
        <v>359.84620000000001</v>
      </c>
      <c r="H187" s="86">
        <f>SQRT((F184-F187)^2+(F185-F188)^2+(F186-F189)^2)</f>
        <v>3.9450857149423331</v>
      </c>
      <c r="I187" s="89">
        <v>4.839496367203024</v>
      </c>
      <c r="J187" s="17">
        <f>'Zed Mini'!F187-'Experimental Procedure'!$C$110</f>
        <v>0.12568900000000038</v>
      </c>
      <c r="K187" s="86">
        <f t="shared" ref="K187" si="56">SQRT(J187^2+J188^2+J189^2)</f>
        <v>0.15603699690137629</v>
      </c>
      <c r="L187" s="48">
        <f>IF('Zed Mini'!G187-'Experimental Procedure'!$D$110&lt;-180,'Zed Mini'!G187-'Experimental Procedure'!$D$110 + 360,IF('Zed Mini'!G187-'Experimental Procedure'!$D$110&gt;180,'Zed Mini'!G187-'Experimental Procedure'!$D$110 - 360,'Zed Mini'!G187-'Experimental Procedure'!$D$110))</f>
        <v>-0.15379999999998972</v>
      </c>
      <c r="M187" s="89">
        <v>1.8700330978008748</v>
      </c>
      <c r="N187" s="51" t="str">
        <f>IF('Experimental Procedure'!$E$110=0,"NaN",J187/'Experimental Procedure'!$E$110*100)</f>
        <v>NaN</v>
      </c>
      <c r="O187" s="92">
        <f>IF('Experimental Procedure'!$G$110=0,"NaN",'Zed Mini'!K187/'Experimental Procedure'!$G$110*100)</f>
        <v>3.9009249225344074</v>
      </c>
      <c r="P187" s="51" t="str">
        <f>IF('Experimental Procedure'!$F$110=0,"NaN",L187/'Experimental Procedure'!$F$110*100)</f>
        <v>NaN</v>
      </c>
      <c r="Q187" s="109" t="str">
        <f>IF('Experimental Procedure'!$H$110=0,"NaN",'Zed Mini'!M187/'Experimental Procedure'!$H$110*100)</f>
        <v>NaN</v>
      </c>
    </row>
    <row r="188" spans="4:17" x14ac:dyDescent="0.25">
      <c r="D188" s="73"/>
      <c r="E188" s="9" t="s">
        <v>135</v>
      </c>
      <c r="F188" s="19">
        <v>1.4679450000000001</v>
      </c>
      <c r="G188" s="49">
        <v>358.13630000000001</v>
      </c>
      <c r="H188" s="87"/>
      <c r="I188" s="90"/>
      <c r="J188" s="19">
        <f>'Zed Mini'!F188-'Experimental Procedure'!$C$111</f>
        <v>6.7945000000000144E-2</v>
      </c>
      <c r="K188" s="87"/>
      <c r="L188" s="49">
        <f>IF('Zed Mini'!G188-'Experimental Procedure'!$D$111&lt;-180,'Zed Mini'!G188-'Experimental Procedure'!$D$111 + 360,IF('Zed Mini'!G188-'Experimental Procedure'!$D$111&gt;180,'Zed Mini'!G188-'Experimental Procedure'!$D$111 - 360,'Zed Mini'!G188-'Experimental Procedure'!$D$111))</f>
        <v>-1.8636999999999944</v>
      </c>
      <c r="M188" s="90"/>
      <c r="N188" s="52" t="str">
        <f>IF('Experimental Procedure'!$E$111=0,"NaN",J188/'Experimental Procedure'!$E$111*100)</f>
        <v>NaN</v>
      </c>
      <c r="O188" s="93"/>
      <c r="P188" s="52" t="str">
        <f>IF('Experimental Procedure'!$F$111=0,"NaN",L188/'Experimental Procedure'!$F$111*100)</f>
        <v>NaN</v>
      </c>
      <c r="Q188" s="110"/>
    </row>
    <row r="189" spans="4:17" ht="15.75" thickBot="1" x14ac:dyDescent="0.3">
      <c r="D189" s="74"/>
      <c r="E189" s="10" t="s">
        <v>136</v>
      </c>
      <c r="F189" s="21">
        <v>3.937284</v>
      </c>
      <c r="G189" s="50">
        <v>2.5023789999999999E-3</v>
      </c>
      <c r="H189" s="88"/>
      <c r="I189" s="91"/>
      <c r="J189" s="21">
        <f>'Zed Mini'!F189-'Experimental Procedure'!$C$112</f>
        <v>-6.2715999999999994E-2</v>
      </c>
      <c r="K189" s="88"/>
      <c r="L189" s="50">
        <f>IF('Zed Mini'!G189-'Experimental Procedure'!$D$112&lt;-180,'Zed Mini'!G189-'Experimental Procedure'!$D$112 + 360,IF('Zed Mini'!G189-'Experimental Procedure'!$D$112&gt;180,'Zed Mini'!G189-'Experimental Procedure'!$D$112 - 360,'Zed Mini'!G189-'Experimental Procedure'!$D$112))</f>
        <v>2.5023789999999999E-3</v>
      </c>
      <c r="M189" s="91"/>
      <c r="N189" s="53">
        <f>IF('Experimental Procedure'!$E$112=0,"NaN",J189/'Experimental Procedure'!$E$112*100)</f>
        <v>-1.5678999999999998</v>
      </c>
      <c r="O189" s="94"/>
      <c r="P189" s="53" t="str">
        <f>IF('Experimental Procedure'!$F$112=0,"NaN",L189/'Experimental Procedure'!$F$112*100)</f>
        <v>NaN</v>
      </c>
      <c r="Q189" s="111"/>
    </row>
    <row r="190" spans="4:17" x14ac:dyDescent="0.25">
      <c r="D190" s="72" t="s">
        <v>191</v>
      </c>
      <c r="E190" s="8" t="s">
        <v>134</v>
      </c>
      <c r="F190" s="17">
        <v>6.0211480000000002</v>
      </c>
      <c r="G190" s="48">
        <v>1.4645440000000001</v>
      </c>
      <c r="H190" s="86">
        <f>SQRT((F187-F190)^2+(F188-F191)^2+(F189-F192)^2)</f>
        <v>0.16737420914226928</v>
      </c>
      <c r="I190" s="89">
        <v>86.986666895584349</v>
      </c>
      <c r="J190" s="17">
        <f>'Zed Mini'!F190-'Experimental Procedure'!$C$113</f>
        <v>2.1148000000000167E-2</v>
      </c>
      <c r="K190" s="86">
        <f t="shared" ref="K190" si="57">SQRT(J190^2+J191^2+J192^2)</f>
        <v>0.21088824051141419</v>
      </c>
      <c r="L190" s="48">
        <f>IF('Zed Mini'!G190-'Experimental Procedure'!$D$113&lt;-180,'Zed Mini'!G190-'Experimental Procedure'!$D$113 + 360,IF('Zed Mini'!G190-'Experimental Procedure'!$D$113&gt;180,'Zed Mini'!G190-'Experimental Procedure'!$D$113 - 360,'Zed Mini'!G190-'Experimental Procedure'!$D$113))</f>
        <v>1.4645440000000001</v>
      </c>
      <c r="M190" s="89">
        <v>3.9154357210665296</v>
      </c>
      <c r="N190" s="51" t="str">
        <f>IF('Experimental Procedure'!$E$113=0,"NaN",J190/'Experimental Procedure'!$E$113*100)</f>
        <v>NaN</v>
      </c>
      <c r="O190" s="92" t="str">
        <f>IF('Experimental Procedure'!$G$113=0,"NaN",'Zed Mini'!K190/'Experimental Procedure'!$G$113*100)</f>
        <v>NaN</v>
      </c>
      <c r="P190" s="51" t="str">
        <f>IF('Experimental Procedure'!$F$113=0,"NaN",L190/'Experimental Procedure'!$F$113*100)</f>
        <v>NaN</v>
      </c>
      <c r="Q190" s="109">
        <f>IF('Experimental Procedure'!$H$113=0,"NaN",'Zed Mini'!M190/'Experimental Procedure'!$H$113*100)</f>
        <v>4.350484134518366</v>
      </c>
    </row>
    <row r="191" spans="4:17" x14ac:dyDescent="0.25">
      <c r="D191" s="73"/>
      <c r="E191" s="9" t="s">
        <v>135</v>
      </c>
      <c r="F191" s="19">
        <v>1.4834909999999999</v>
      </c>
      <c r="G191" s="49">
        <v>271.25470000000001</v>
      </c>
      <c r="H191" s="87"/>
      <c r="I191" s="90"/>
      <c r="J191" s="19">
        <f>'Zed Mini'!F191-'Experimental Procedure'!$C$114</f>
        <v>8.3490999999999982E-2</v>
      </c>
      <c r="K191" s="87"/>
      <c r="L191" s="49">
        <f>IF('Zed Mini'!G191-'Experimental Procedure'!$D$114&lt;-180,'Zed Mini'!G191-'Experimental Procedure'!$D$114 + 360,IF('Zed Mini'!G191-'Experimental Procedure'!$D$114&gt;180,'Zed Mini'!G191-'Experimental Procedure'!$D$114 - 360,'Zed Mini'!G191-'Experimental Procedure'!$D$114))</f>
        <v>1.2547000000000139</v>
      </c>
      <c r="M191" s="90"/>
      <c r="N191" s="52" t="str">
        <f>IF('Experimental Procedure'!$E$114=0,"NaN",J191/'Experimental Procedure'!$E$114*100)</f>
        <v>NaN</v>
      </c>
      <c r="O191" s="93"/>
      <c r="P191" s="52">
        <f>IF('Experimental Procedure'!$F$114=0,"NaN",L191/'Experimental Procedure'!$F$114*100)</f>
        <v>1.3941111111111266</v>
      </c>
      <c r="Q191" s="110"/>
    </row>
    <row r="192" spans="4:17" ht="15.75" thickBot="1" x14ac:dyDescent="0.3">
      <c r="D192" s="74"/>
      <c r="E192" s="10" t="s">
        <v>136</v>
      </c>
      <c r="F192" s="21">
        <v>3.8075009999999998</v>
      </c>
      <c r="G192" s="50">
        <v>3.42381</v>
      </c>
      <c r="H192" s="88"/>
      <c r="I192" s="91"/>
      <c r="J192" s="21">
        <f>'Zed Mini'!F192-'Experimental Procedure'!$C$115</f>
        <v>-0.1924990000000002</v>
      </c>
      <c r="K192" s="88"/>
      <c r="L192" s="50">
        <f>IF('Zed Mini'!G192-'Experimental Procedure'!$D$115&lt;-180,'Zed Mini'!G192-'Experimental Procedure'!$D$115 + 360,IF('Zed Mini'!G192-'Experimental Procedure'!$D$115&gt;180,'Zed Mini'!G192-'Experimental Procedure'!$D$115 - 360,'Zed Mini'!G192-'Experimental Procedure'!$D$115))</f>
        <v>3.42381</v>
      </c>
      <c r="M192" s="91"/>
      <c r="N192" s="53" t="str">
        <f>IF('Experimental Procedure'!$E$115=0,"NaN",J192/'Experimental Procedure'!$E$115*100)</f>
        <v>NaN</v>
      </c>
      <c r="O192" s="94"/>
      <c r="P192" s="53" t="str">
        <f>IF('Experimental Procedure'!$F$115=0,"NaN",L192/'Experimental Procedure'!$F$115*100)</f>
        <v>NaN</v>
      </c>
      <c r="Q192" s="111"/>
    </row>
    <row r="193" spans="4:17" x14ac:dyDescent="0.25">
      <c r="D193" s="72" t="s">
        <v>188</v>
      </c>
      <c r="E193" s="8" t="s">
        <v>134</v>
      </c>
      <c r="F193" s="17">
        <v>1.623964</v>
      </c>
      <c r="G193" s="48">
        <v>1.145418</v>
      </c>
      <c r="H193" s="86">
        <f>SQRT((F190-F193)^2+(F191-F194)^2+(F192-F195)^2)</f>
        <v>4.4225564864382463</v>
      </c>
      <c r="I193" s="89">
        <v>4.4500246998923005</v>
      </c>
      <c r="J193" s="17">
        <f>'Zed Mini'!F193-'Experimental Procedure'!$C$116</f>
        <v>1.623964</v>
      </c>
      <c r="K193" s="86">
        <f t="shared" ref="K193" si="58">SQRT(J193^2+J194^2+J195^2)</f>
        <v>1.7411829413754891</v>
      </c>
      <c r="L193" s="48">
        <f>IF('Zed Mini'!G193-'Experimental Procedure'!$D$116&lt;-180,'Zed Mini'!G193-'Experimental Procedure'!$D$116 + 360,IF('Zed Mini'!G193-'Experimental Procedure'!$D$116&gt;180,'Zed Mini'!G193-'Experimental Procedure'!$D$116 - 360,'Zed Mini'!G193-'Experimental Procedure'!$D$116))</f>
        <v>1.145418</v>
      </c>
      <c r="M193" s="89">
        <v>1.9097751745021343</v>
      </c>
      <c r="N193" s="51">
        <f>IF('Experimental Procedure'!$E$116=0,"NaN",J193/'Experimental Procedure'!$E$116*100)</f>
        <v>27.066066666666664</v>
      </c>
      <c r="O193" s="92">
        <f>IF('Experimental Procedure'!$G$116=0,"NaN",'Zed Mini'!K193/'Experimental Procedure'!$G$116*100)</f>
        <v>29.019715689591486</v>
      </c>
      <c r="P193" s="51" t="str">
        <f>IF('Experimental Procedure'!$F$116=0,"NaN",L193/'Experimental Procedure'!$F$116*100)</f>
        <v>NaN</v>
      </c>
      <c r="Q193" s="109" t="str">
        <f>IF('Experimental Procedure'!$H$116=0,"NaN",'Zed Mini'!M193/'Experimental Procedure'!$H$116*100)</f>
        <v>NaN</v>
      </c>
    </row>
    <row r="194" spans="4:17" x14ac:dyDescent="0.25">
      <c r="D194" s="73"/>
      <c r="E194" s="9" t="s">
        <v>135</v>
      </c>
      <c r="F194" s="19">
        <v>1.9377709999999999</v>
      </c>
      <c r="G194" s="49">
        <v>268.47410000000002</v>
      </c>
      <c r="H194" s="87"/>
      <c r="I194" s="90"/>
      <c r="J194" s="19">
        <f>'Zed Mini'!F194-'Experimental Procedure'!$C$117</f>
        <v>0.537771</v>
      </c>
      <c r="K194" s="87"/>
      <c r="L194" s="49">
        <f>IF('Zed Mini'!G194-'Experimental Procedure'!$D$117&lt;-180,'Zed Mini'!G194-'Experimental Procedure'!$D$117 + 360,IF('Zed Mini'!G194-'Experimental Procedure'!$D$117&gt;180,'Zed Mini'!G194-'Experimental Procedure'!$D$117 - 360,'Zed Mini'!G194-'Experimental Procedure'!$D$117))</f>
        <v>-1.5258999999999787</v>
      </c>
      <c r="M194" s="90"/>
      <c r="N194" s="52" t="str">
        <f>IF('Experimental Procedure'!$E$117=0,"NaN",J194/'Experimental Procedure'!$E$117*100)</f>
        <v>NaN</v>
      </c>
      <c r="O194" s="93"/>
      <c r="P194" s="52" t="str">
        <f>IF('Experimental Procedure'!$F$117=0,"NaN",L194/'Experimental Procedure'!$F$117*100)</f>
        <v>NaN</v>
      </c>
      <c r="Q194" s="110"/>
    </row>
    <row r="195" spans="4:17" ht="15.75" thickBot="1" x14ac:dyDescent="0.3">
      <c r="D195" s="74"/>
      <c r="E195" s="10" t="s">
        <v>136</v>
      </c>
      <c r="F195" s="21">
        <v>3.6755599999999999</v>
      </c>
      <c r="G195" s="50">
        <v>359.8999</v>
      </c>
      <c r="H195" s="88"/>
      <c r="I195" s="91"/>
      <c r="J195" s="21">
        <f>'Zed Mini'!F195-'Experimental Procedure'!$C$118</f>
        <v>-0.32444000000000006</v>
      </c>
      <c r="K195" s="88"/>
      <c r="L195" s="50">
        <f>IF('Zed Mini'!G195-'Experimental Procedure'!$D$118&lt;-180,'Zed Mini'!G195-'Experimental Procedure'!$D$118 + 360,IF('Zed Mini'!G195-'Experimental Procedure'!$D$118&gt;180,'Zed Mini'!G195-'Experimental Procedure'!$D$118 - 360,'Zed Mini'!G195-'Experimental Procedure'!$D$118))</f>
        <v>-0.10009999999999764</v>
      </c>
      <c r="M195" s="91"/>
      <c r="N195" s="53" t="str">
        <f>IF('Experimental Procedure'!$E$118=0,"NaN",J195/'Experimental Procedure'!$E$118*100)</f>
        <v>NaN</v>
      </c>
      <c r="O195" s="94"/>
      <c r="P195" s="53" t="str">
        <f>IF('Experimental Procedure'!$F$118=0,"NaN",L195/'Experimental Procedure'!$F$118*100)</f>
        <v>NaN</v>
      </c>
      <c r="Q195" s="111"/>
    </row>
    <row r="196" spans="4:17" x14ac:dyDescent="0.25">
      <c r="D196" s="72" t="s">
        <v>191</v>
      </c>
      <c r="E196" s="8" t="s">
        <v>134</v>
      </c>
      <c r="F196" s="17">
        <v>1.7532700000000001</v>
      </c>
      <c r="G196" s="48">
        <v>0.49431079999999999</v>
      </c>
      <c r="H196" s="86">
        <f>SQRT((F193-F196)^2+(F194-F197)^2+(F195-F198)^2)</f>
        <v>0.1611246040739901</v>
      </c>
      <c r="I196" s="89">
        <v>90.670140658967654</v>
      </c>
      <c r="J196" s="17">
        <f>'Zed Mini'!F196-'Experimental Procedure'!$C$119</f>
        <v>1.7532700000000001</v>
      </c>
      <c r="K196" s="86">
        <f t="shared" ref="K196" si="59">SQRT(J196^2+J197^2+J198^2)</f>
        <v>1.8827426454406881</v>
      </c>
      <c r="L196" s="48">
        <f>IF('Zed Mini'!G196-'Experimental Procedure'!$D$119&lt;-180,'Zed Mini'!G196-'Experimental Procedure'!$D$119 + 360,IF('Zed Mini'!G196-'Experimental Procedure'!$D$119&gt;180,'Zed Mini'!G196-'Experimental Procedure'!$D$119 - 360,'Zed Mini'!G196-'Experimental Procedure'!$D$119))</f>
        <v>0.49431079999999999</v>
      </c>
      <c r="M196" s="89">
        <v>2.4607527339330901</v>
      </c>
      <c r="N196" s="51" t="str">
        <f>IF('Experimental Procedure'!$E$119=0,"NaN",J196/'Experimental Procedure'!$E$119*100)</f>
        <v>NaN</v>
      </c>
      <c r="O196" s="92" t="str">
        <f>IF('Experimental Procedure'!$G$119=0,"NaN",'Zed Mini'!K196/'Experimental Procedure'!$G$119*100)</f>
        <v>NaN</v>
      </c>
      <c r="P196" s="51" t="str">
        <f>IF('Experimental Procedure'!$F$119=0,"NaN",L196/'Experimental Procedure'!$F$119*100)</f>
        <v>NaN</v>
      </c>
      <c r="Q196" s="109">
        <f>IF('Experimental Procedure'!$H$119=0,"NaN",'Zed Mini'!M196/'Experimental Procedure'!$H$119*100)</f>
        <v>2.7341697043701005</v>
      </c>
    </row>
    <row r="197" spans="4:17" x14ac:dyDescent="0.25">
      <c r="D197" s="73"/>
      <c r="E197" s="9" t="s">
        <v>135</v>
      </c>
      <c r="F197" s="19">
        <v>1.9421900000000001</v>
      </c>
      <c r="G197" s="49">
        <v>177.82759999999999</v>
      </c>
      <c r="H197" s="87"/>
      <c r="I197" s="90"/>
      <c r="J197" s="19">
        <f>'Zed Mini'!F197-'Experimental Procedure'!$C$120</f>
        <v>0.54219000000000017</v>
      </c>
      <c r="K197" s="87"/>
      <c r="L197" s="49">
        <f>IF('Zed Mini'!G197-'Experimental Procedure'!$D$120&lt;-180,'Zed Mini'!G197-'Experimental Procedure'!$D$120 + 360,IF('Zed Mini'!G197-'Experimental Procedure'!$D$120&gt;180,'Zed Mini'!G197-'Experimental Procedure'!$D$120 - 360,'Zed Mini'!G197-'Experimental Procedure'!$D$120))</f>
        <v>-2.1724000000000103</v>
      </c>
      <c r="M197" s="90"/>
      <c r="N197" s="52" t="str">
        <f>IF('Experimental Procedure'!$E$120=0,"NaN",J197/'Experimental Procedure'!$E$120*100)</f>
        <v>NaN</v>
      </c>
      <c r="O197" s="93"/>
      <c r="P197" s="52">
        <f>IF('Experimental Procedure'!$F$120=0,"NaN",L197/'Experimental Procedure'!$F$120*100)</f>
        <v>-2.4137777777777893</v>
      </c>
      <c r="Q197" s="110"/>
    </row>
    <row r="198" spans="4:17" ht="15.75" thickBot="1" x14ac:dyDescent="0.3">
      <c r="D198" s="74"/>
      <c r="E198" s="10" t="s">
        <v>136</v>
      </c>
      <c r="F198" s="21">
        <v>3.5795309999999998</v>
      </c>
      <c r="G198" s="50">
        <v>1.0355650000000001</v>
      </c>
      <c r="H198" s="88"/>
      <c r="I198" s="91"/>
      <c r="J198" s="21">
        <f>'Zed Mini'!F198-'Experimental Procedure'!$C$121</f>
        <v>-0.4204690000000002</v>
      </c>
      <c r="K198" s="88"/>
      <c r="L198" s="50">
        <f>IF('Zed Mini'!G198-'Experimental Procedure'!$D$121&lt;-180,'Zed Mini'!G198-'Experimental Procedure'!$D$121 + 360,IF('Zed Mini'!G198-'Experimental Procedure'!$D$121&gt;180,'Zed Mini'!G198-'Experimental Procedure'!$D$121 - 360,'Zed Mini'!G198-'Experimental Procedure'!$D$121))</f>
        <v>1.0355650000000001</v>
      </c>
      <c r="M198" s="91"/>
      <c r="N198" s="53" t="str">
        <f>IF('Experimental Procedure'!$E$121=0,"NaN",J198/'Experimental Procedure'!$E$121*100)</f>
        <v>NaN</v>
      </c>
      <c r="O198" s="94"/>
      <c r="P198" s="53" t="str">
        <f>IF('Experimental Procedure'!$F$121=0,"NaN",L198/'Experimental Procedure'!$F$121*100)</f>
        <v>NaN</v>
      </c>
      <c r="Q198" s="111"/>
    </row>
    <row r="199" spans="4:17" x14ac:dyDescent="0.25">
      <c r="D199" s="72" t="s">
        <v>190</v>
      </c>
      <c r="E199" s="8" t="s">
        <v>134</v>
      </c>
      <c r="F199" s="17">
        <v>1.7938609999999999</v>
      </c>
      <c r="G199" s="48">
        <v>0.24143510000000001</v>
      </c>
      <c r="H199" s="86">
        <f>SQRT((F196-F199)^2+(F197-F200)^2+(F198-F201)^2)</f>
        <v>2.1925978821573735</v>
      </c>
      <c r="I199" s="89">
        <v>3.6672127971135855</v>
      </c>
      <c r="J199" s="17">
        <f>'Zed Mini'!F199-'Experimental Procedure'!$C$122</f>
        <v>1.7938609999999999</v>
      </c>
      <c r="K199" s="86">
        <f t="shared" ref="K199" si="60">SQRT(J199^2+J200^2+J201^2)</f>
        <v>2.2942401196705631</v>
      </c>
      <c r="L199" s="48">
        <f>IF('Zed Mini'!G199-'Experimental Procedure'!$D$122&lt;-180,'Zed Mini'!G199-'Experimental Procedure'!$D$122 + 360,IF('Zed Mini'!G199-'Experimental Procedure'!$D$122&gt;180,'Zed Mini'!G199-'Experimental Procedure'!$D$122 - 360,'Zed Mini'!G199-'Experimental Procedure'!$D$122))</f>
        <v>0.24143510000000001</v>
      </c>
      <c r="M199" s="89">
        <v>1.2794810833873811</v>
      </c>
      <c r="N199" s="51" t="str">
        <f>IF('Experimental Procedure'!$E$122=0,"NaN",J199/'Experimental Procedure'!$E$122*100)</f>
        <v>NaN</v>
      </c>
      <c r="O199" s="92">
        <f>IF('Experimental Procedure'!$G$122=0,"NaN",'Zed Mini'!K199/'Experimental Procedure'!$G$122*100)</f>
        <v>57.356002991764079</v>
      </c>
      <c r="P199" s="51" t="str">
        <f>IF('Experimental Procedure'!$F$122=0,"NaN",L199/'Experimental Procedure'!$F$122*100)</f>
        <v>NaN</v>
      </c>
      <c r="Q199" s="109" t="str">
        <f>IF('Experimental Procedure'!$H$122=0,"NaN",'Zed Mini'!M199/'Experimental Procedure'!$H$122*100)</f>
        <v>NaN</v>
      </c>
    </row>
    <row r="200" spans="4:17" x14ac:dyDescent="0.25">
      <c r="D200" s="73"/>
      <c r="E200" s="9" t="s">
        <v>135</v>
      </c>
      <c r="F200" s="19">
        <v>1.6736960000000001</v>
      </c>
      <c r="G200" s="49">
        <v>181.01900000000001</v>
      </c>
      <c r="H200" s="87"/>
      <c r="I200" s="90"/>
      <c r="J200" s="19">
        <f>'Zed Mini'!F200-'Experimental Procedure'!$C$123</f>
        <v>0.27369600000000016</v>
      </c>
      <c r="K200" s="87"/>
      <c r="L200" s="49">
        <f>IF('Zed Mini'!G200-'Experimental Procedure'!$D$123&lt;-180,'Zed Mini'!G200-'Experimental Procedure'!$D$123 + 360,IF('Zed Mini'!G200-'Experimental Procedure'!$D$123&gt;180,'Zed Mini'!G200-'Experimental Procedure'!$D$123 - 360,'Zed Mini'!G200-'Experimental Procedure'!$D$123))</f>
        <v>1.0190000000000055</v>
      </c>
      <c r="M200" s="90"/>
      <c r="N200" s="52" t="str">
        <f>IF('Experimental Procedure'!$E$123=0,"NaN",J200/'Experimental Procedure'!$E$123*100)</f>
        <v>NaN</v>
      </c>
      <c r="O200" s="93"/>
      <c r="P200" s="52" t="str">
        <f>IF('Experimental Procedure'!$F$123=0,"NaN",L200/'Experimental Procedure'!$F$123*100)</f>
        <v>NaN</v>
      </c>
      <c r="Q200" s="110"/>
    </row>
    <row r="201" spans="4:17" ht="15.75" thickBot="1" x14ac:dyDescent="0.3">
      <c r="D201" s="74"/>
      <c r="E201" s="10" t="s">
        <v>136</v>
      </c>
      <c r="F201" s="21">
        <v>1.403813</v>
      </c>
      <c r="G201" s="50">
        <v>359.267</v>
      </c>
      <c r="H201" s="88"/>
      <c r="I201" s="91"/>
      <c r="J201" s="21">
        <f>'Zed Mini'!F201-'Experimental Procedure'!$C$124</f>
        <v>1.403813</v>
      </c>
      <c r="K201" s="88"/>
      <c r="L201" s="50">
        <f>IF('Zed Mini'!G201-'Experimental Procedure'!$D$124&lt;-180,'Zed Mini'!G201-'Experimental Procedure'!$D$124 + 360,IF('Zed Mini'!G201-'Experimental Procedure'!$D$124&gt;180,'Zed Mini'!G201-'Experimental Procedure'!$D$124 - 360,'Zed Mini'!G201-'Experimental Procedure'!$D$124))</f>
        <v>-0.73300000000000409</v>
      </c>
      <c r="M201" s="91"/>
      <c r="N201" s="53">
        <f>IF('Experimental Procedure'!$E$124=0,"NaN",J201/'Experimental Procedure'!$E$124*100)</f>
        <v>35.095325000000003</v>
      </c>
      <c r="O201" s="94"/>
      <c r="P201" s="53" t="str">
        <f>IF('Experimental Procedure'!$F$124=0,"NaN",L201/'Experimental Procedure'!$F$124*100)</f>
        <v>NaN</v>
      </c>
      <c r="Q201" s="111"/>
    </row>
    <row r="202" spans="4:17" x14ac:dyDescent="0.25">
      <c r="D202" s="72" t="s">
        <v>191</v>
      </c>
      <c r="E202" s="8" t="s">
        <v>134</v>
      </c>
      <c r="F202" s="17">
        <v>1.8584620000000001</v>
      </c>
      <c r="G202" s="48">
        <v>1.119515</v>
      </c>
      <c r="H202" s="86">
        <f>SQRT((F199-F202)^2+(F200-F203)^2+(F201-F204)^2)</f>
        <v>9.5143174326905999E-2</v>
      </c>
      <c r="I202" s="89">
        <v>91.783872302101969</v>
      </c>
      <c r="J202" s="17">
        <f>'Zed Mini'!F202-'Experimental Procedure'!$C$125</f>
        <v>1.8584620000000001</v>
      </c>
      <c r="K202" s="86">
        <f t="shared" ref="K202" si="61">SQRT(J202^2+J203^2+J204^2)</f>
        <v>2.3869500377186363</v>
      </c>
      <c r="L202" s="48">
        <f>IF('Zed Mini'!G202-'Experimental Procedure'!$D$125&lt;-180,'Zed Mini'!G202-'Experimental Procedure'!$D$125 + 360,IF('Zed Mini'!G202-'Experimental Procedure'!$D$125&gt;180,'Zed Mini'!G202-'Experimental Procedure'!$D$125 - 360,'Zed Mini'!G202-'Experimental Procedure'!$D$125))</f>
        <v>1.119515</v>
      </c>
      <c r="M202" s="89">
        <v>2.9066632404330979</v>
      </c>
      <c r="N202" s="51" t="str">
        <f>IF('Experimental Procedure'!$E$125=0,"NaN",J202/'Experimental Procedure'!$E$125*100)</f>
        <v>NaN</v>
      </c>
      <c r="O202" s="92" t="str">
        <f>IF('Experimental Procedure'!$G$125=0,"NaN",'Zed Mini'!K202/'Experimental Procedure'!$G$125*100)</f>
        <v>NaN</v>
      </c>
      <c r="P202" s="51" t="str">
        <f>IF('Experimental Procedure'!$F$125=0,"NaN",L202/'Experimental Procedure'!$F$125*100)</f>
        <v>NaN</v>
      </c>
      <c r="Q202" s="109">
        <f>IF('Experimental Procedure'!$H$125=0,"NaN",'Zed Mini'!M202/'Experimental Procedure'!$H$125*100)</f>
        <v>3.2296258227034422</v>
      </c>
    </row>
    <row r="203" spans="4:17" x14ac:dyDescent="0.25">
      <c r="D203" s="73"/>
      <c r="E203" s="9" t="s">
        <v>135</v>
      </c>
      <c r="F203" s="19">
        <v>1.6691</v>
      </c>
      <c r="G203" s="49">
        <v>89.324569999999994</v>
      </c>
      <c r="H203" s="87"/>
      <c r="I203" s="90"/>
      <c r="J203" s="19">
        <f>'Zed Mini'!F203-'Experimental Procedure'!$C$126</f>
        <v>0.26910000000000012</v>
      </c>
      <c r="K203" s="87"/>
      <c r="L203" s="49">
        <f>IF('Zed Mini'!G203-'Experimental Procedure'!$D$126&lt;-180,'Zed Mini'!G203-'Experimental Procedure'!$D$126 + 360,IF('Zed Mini'!G203-'Experimental Procedure'!$D$126&gt;180,'Zed Mini'!G203-'Experimental Procedure'!$D$126 - 360,'Zed Mini'!G203-'Experimental Procedure'!$D$126))</f>
        <v>-0.67543000000000575</v>
      </c>
      <c r="M203" s="90"/>
      <c r="N203" s="52" t="str">
        <f>IF('Experimental Procedure'!$E$126=0,"NaN",J203/'Experimental Procedure'!$E$126*100)</f>
        <v>NaN</v>
      </c>
      <c r="O203" s="93"/>
      <c r="P203" s="52">
        <f>IF('Experimental Procedure'!$F$126=0,"NaN",L203/'Experimental Procedure'!$F$126*100)</f>
        <v>-0.75047777777778424</v>
      </c>
      <c r="Q203" s="110"/>
    </row>
    <row r="204" spans="4:17" ht="15.75" thickBot="1" x14ac:dyDescent="0.3">
      <c r="D204" s="74"/>
      <c r="E204" s="10" t="s">
        <v>136</v>
      </c>
      <c r="F204" s="21">
        <v>1.473511</v>
      </c>
      <c r="G204" s="50">
        <v>2.5894599999999999</v>
      </c>
      <c r="H204" s="88"/>
      <c r="I204" s="91"/>
      <c r="J204" s="21">
        <f>'Zed Mini'!F204-'Experimental Procedure'!$C$127</f>
        <v>1.473511</v>
      </c>
      <c r="K204" s="88"/>
      <c r="L204" s="50">
        <f>IF('Zed Mini'!G204-'Experimental Procedure'!$D$127&lt;-180,'Zed Mini'!G204-'Experimental Procedure'!$D$127 + 360,IF('Zed Mini'!G204-'Experimental Procedure'!$D$127&gt;180,'Zed Mini'!G204-'Experimental Procedure'!$D$127 - 360,'Zed Mini'!G204-'Experimental Procedure'!$D$127))</f>
        <v>2.5894599999999999</v>
      </c>
      <c r="M204" s="91"/>
      <c r="N204" s="53" t="str">
        <f>IF('Experimental Procedure'!$E$127=0,"NaN",J204/'Experimental Procedure'!$E$127*100)</f>
        <v>NaN</v>
      </c>
      <c r="O204" s="94"/>
      <c r="P204" s="53" t="str">
        <f>IF('Experimental Procedure'!$F$127=0,"NaN",L204/'Experimental Procedure'!$F$127*100)</f>
        <v>NaN</v>
      </c>
      <c r="Q204" s="111"/>
    </row>
    <row r="205" spans="4:17" x14ac:dyDescent="0.25">
      <c r="D205" s="72" t="s">
        <v>180</v>
      </c>
      <c r="E205" s="8" t="s">
        <v>134</v>
      </c>
      <c r="F205" s="17">
        <v>7.5688440000000003</v>
      </c>
      <c r="G205" s="48">
        <v>357.476</v>
      </c>
      <c r="H205" s="86">
        <f>SQRT((F202-F205)^2+(F203-F206)^2+(F204-F207)^2)</f>
        <v>5.7718020059215478</v>
      </c>
      <c r="I205" s="89">
        <v>6.3209696627822316</v>
      </c>
      <c r="J205" s="17">
        <f>'Zed Mini'!F205-'Experimental Procedure'!$C$128</f>
        <v>1.5688440000000003</v>
      </c>
      <c r="K205" s="86">
        <f t="shared" ref="K205" si="62">SQRT(J205^2+J206^2+J207^2)</f>
        <v>2.3846116676433926</v>
      </c>
      <c r="L205" s="48">
        <f>IF('Zed Mini'!G205-'Experimental Procedure'!$D$128&lt;-180,'Zed Mini'!G205-'Experimental Procedure'!$D$128 + 360,IF('Zed Mini'!G205-'Experimental Procedure'!$D$128&gt;180,'Zed Mini'!G205-'Experimental Procedure'!$D$128 - 360,'Zed Mini'!G205-'Experimental Procedure'!$D$128))</f>
        <v>-2.5240000000000009</v>
      </c>
      <c r="M205" s="89">
        <v>3.7118712469228123</v>
      </c>
      <c r="N205" s="51">
        <f>IF('Experimental Procedure'!$E$128=0,"NaN",J205/'Experimental Procedure'!$E$128*100)</f>
        <v>26.147400000000005</v>
      </c>
      <c r="O205" s="92">
        <f>IF('Experimental Procedure'!$G$128=0,"NaN",'Zed Mini'!K205/'Experimental Procedure'!$G$128*100)</f>
        <v>39.743527794056547</v>
      </c>
      <c r="P205" s="51" t="str">
        <f>IF('Experimental Procedure'!$F$128=0,"NaN",L205/'Experimental Procedure'!$F$128*100)</f>
        <v>NaN</v>
      </c>
      <c r="Q205" s="109" t="str">
        <f>IF('Experimental Procedure'!$H$128=0,"NaN",'Zed Mini'!M205/'Experimental Procedure'!$H$128*100)</f>
        <v>NaN</v>
      </c>
    </row>
    <row r="206" spans="4:17" x14ac:dyDescent="0.25">
      <c r="D206" s="73"/>
      <c r="E206" s="9" t="s">
        <v>135</v>
      </c>
      <c r="F206" s="19">
        <v>2.5067900000000001</v>
      </c>
      <c r="G206" s="49">
        <v>92.056209999999993</v>
      </c>
      <c r="H206" s="87"/>
      <c r="I206" s="90"/>
      <c r="J206" s="19">
        <f>'Zed Mini'!F206-'Experimental Procedure'!$C$129</f>
        <v>1.1067900000000002</v>
      </c>
      <c r="K206" s="87"/>
      <c r="L206" s="49">
        <f>IF('Zed Mini'!G206-'Experimental Procedure'!$D$129&lt;-180,'Zed Mini'!G206-'Experimental Procedure'!$D$129 + 360,IF('Zed Mini'!G206-'Experimental Procedure'!$D$129&gt;180,'Zed Mini'!G206-'Experimental Procedure'!$D$129 - 360,'Zed Mini'!G206-'Experimental Procedure'!$D$129))</f>
        <v>2.056209999999993</v>
      </c>
      <c r="M206" s="90"/>
      <c r="N206" s="52" t="str">
        <f>IF('Experimental Procedure'!$E$129=0,"NaN",J206/'Experimental Procedure'!$E$129*100)</f>
        <v>NaN</v>
      </c>
      <c r="O206" s="93"/>
      <c r="P206" s="52" t="str">
        <f>IF('Experimental Procedure'!$F$129=0,"NaN",L206/'Experimental Procedure'!$F$129*100)</f>
        <v>NaN</v>
      </c>
      <c r="Q206" s="110"/>
    </row>
    <row r="207" spans="4:17" ht="15.75" thickBot="1" x14ac:dyDescent="0.3">
      <c r="D207" s="74"/>
      <c r="E207" s="10" t="s">
        <v>136</v>
      </c>
      <c r="F207" s="21">
        <v>1.414255</v>
      </c>
      <c r="G207" s="50">
        <v>358.17059999999998</v>
      </c>
      <c r="H207" s="88"/>
      <c r="I207" s="91"/>
      <c r="J207" s="21">
        <f>'Zed Mini'!F207-'Experimental Procedure'!$C$130</f>
        <v>1.414255</v>
      </c>
      <c r="K207" s="88"/>
      <c r="L207" s="50">
        <f>IF('Zed Mini'!G207-'Experimental Procedure'!$D$130&lt;-180,'Zed Mini'!G207-'Experimental Procedure'!$D$130 + 360,IF('Zed Mini'!G207-'Experimental Procedure'!$D$130&gt;180,'Zed Mini'!G207-'Experimental Procedure'!$D$130 - 360,'Zed Mini'!G207-'Experimental Procedure'!$D$130))</f>
        <v>-1.829400000000021</v>
      </c>
      <c r="M207" s="91"/>
      <c r="N207" s="53" t="str">
        <f>IF('Experimental Procedure'!$E$130=0,"NaN",J207/'Experimental Procedure'!$E$130*100)</f>
        <v>NaN</v>
      </c>
      <c r="O207" s="94"/>
      <c r="P207" s="53" t="str">
        <f>IF('Experimental Procedure'!$F$130=0,"NaN",L207/'Experimental Procedure'!$F$130*100)</f>
        <v>NaN</v>
      </c>
      <c r="Q207" s="111"/>
    </row>
    <row r="208" spans="4:17" x14ac:dyDescent="0.25">
      <c r="D208" s="83" t="s">
        <v>192</v>
      </c>
      <c r="E208" s="8" t="s">
        <v>134</v>
      </c>
      <c r="F208" s="17">
        <v>5.9825150000000002</v>
      </c>
      <c r="G208" s="48">
        <v>357.68299999999999</v>
      </c>
      <c r="H208" s="86">
        <f>SQRT((F205-F208)^2+(F206-F209)^2+(F207-F210)^2)</f>
        <v>2.4054538428646914</v>
      </c>
      <c r="I208" s="89">
        <v>92.371103525899528</v>
      </c>
      <c r="J208" s="17">
        <f>'Zed Mini'!F208-'Experimental Procedure'!$C$131</f>
        <v>-1.7484999999999751E-2</v>
      </c>
      <c r="K208" s="86">
        <f t="shared" ref="K208" si="63">SQRT(J208^2+J209^2+J210^2)</f>
        <v>2.4722092924791772E-2</v>
      </c>
      <c r="L208" s="48">
        <f>IF('Zed Mini'!G208-'Experimental Procedure'!$D$131&lt;-180,'Zed Mini'!G208-'Experimental Procedure'!$D$131 + 360,IF('Zed Mini'!G208-'Experimental Procedure'!$D$131&gt;180,'Zed Mini'!G208-'Experimental Procedure'!$D$131 - 360,'Zed Mini'!G208-'Experimental Procedure'!$D$131))</f>
        <v>-2.3170000000000073</v>
      </c>
      <c r="M208" s="89">
        <v>2.3476469626162593</v>
      </c>
      <c r="N208" s="51" t="str">
        <f>IF('Experimental Procedure'!$E$131=0,"NaN",J208/'Experimental Procedure'!$E$131*100)</f>
        <v>NaN</v>
      </c>
      <c r="O208" s="92" t="str">
        <f>IF('Experimental Procedure'!$G$131=0,"NaN",'Zed Mini'!K208/'Experimental Procedure'!$G$131*100)</f>
        <v>NaN</v>
      </c>
      <c r="P208" s="51" t="str">
        <f>IF('Experimental Procedure'!$F$131=0,"NaN",L208/'Experimental Procedure'!$F$131*100)</f>
        <v>NaN</v>
      </c>
      <c r="Q208" s="109">
        <f>IF('Experimental Procedure'!$H$131=0,"NaN",'Zed Mini'!M208/'Experimental Procedure'!$H$131*100)</f>
        <v>2.6084966251291775</v>
      </c>
    </row>
    <row r="209" spans="4:17" x14ac:dyDescent="0.25">
      <c r="D209" s="84"/>
      <c r="E209" s="9" t="s">
        <v>135</v>
      </c>
      <c r="F209" s="19">
        <v>1.3826499999999999</v>
      </c>
      <c r="G209" s="49">
        <v>359.62180000000001</v>
      </c>
      <c r="H209" s="87"/>
      <c r="I209" s="90"/>
      <c r="J209" s="19">
        <f>'Zed Mini'!F209-'Experimental Procedure'!$C$132</f>
        <v>-1.7349999999999977E-2</v>
      </c>
      <c r="K209" s="87"/>
      <c r="L209" s="49">
        <f>IF('Zed Mini'!G209-'Experimental Procedure'!$D$132&lt;-180,'Zed Mini'!G209-'Experimental Procedure'!$D$132 + 360,IF('Zed Mini'!G209-'Experimental Procedure'!$D$132&gt;180,'Zed Mini'!G209-'Experimental Procedure'!$D$132 - 360,'Zed Mini'!G209-'Experimental Procedure'!$D$132))</f>
        <v>-0.37819999999999254</v>
      </c>
      <c r="M209" s="90"/>
      <c r="N209" s="52" t="str">
        <f>IF('Experimental Procedure'!$E$132=0,"NaN",J209/'Experimental Procedure'!$E$132*100)</f>
        <v>NaN</v>
      </c>
      <c r="O209" s="93"/>
      <c r="P209" s="52">
        <f>IF('Experimental Procedure'!$F$132=0,"NaN",L209/'Experimental Procedure'!$F$132*100)</f>
        <v>-0.42022222222221395</v>
      </c>
      <c r="Q209" s="110"/>
    </row>
    <row r="210" spans="4:17" ht="15.75" thickBot="1" x14ac:dyDescent="0.3">
      <c r="D210" s="85"/>
      <c r="E210" s="10" t="s">
        <v>136</v>
      </c>
      <c r="F210" s="21">
        <v>-2.1057430000000002E-3</v>
      </c>
      <c r="G210" s="50">
        <v>7.6476010000000004E-3</v>
      </c>
      <c r="H210" s="88"/>
      <c r="I210" s="91"/>
      <c r="J210" s="21">
        <f>'Zed Mini'!F210-'Experimental Procedure'!$C$133</f>
        <v>-2.1057430000000002E-3</v>
      </c>
      <c r="K210" s="88"/>
      <c r="L210" s="50">
        <f>IF('Zed Mini'!G210-'Experimental Procedure'!$D$133&lt;-180,'Zed Mini'!G210-'Experimental Procedure'!$D$133 + 360,IF('Zed Mini'!G210-'Experimental Procedure'!$D$133&gt;180,'Zed Mini'!G210-'Experimental Procedure'!$D$133 - 360,'Zed Mini'!G210-'Experimental Procedure'!$D$133))</f>
        <v>7.6476010000000004E-3</v>
      </c>
      <c r="M210" s="91"/>
      <c r="N210" s="53" t="str">
        <f>IF('Experimental Procedure'!$E$133=0,"NaN",J210/'Experimental Procedure'!$E$133*100)</f>
        <v>NaN</v>
      </c>
      <c r="O210" s="94"/>
      <c r="P210" s="53" t="str">
        <f>IF('Experimental Procedure'!$F$133=0,"NaN",L210/'Experimental Procedure'!$F$133*100)</f>
        <v>NaN</v>
      </c>
      <c r="Q210" s="111"/>
    </row>
    <row r="211" spans="4:17" ht="15.75" thickBot="1" x14ac:dyDescent="0.3">
      <c r="D211" s="29" t="s">
        <v>149</v>
      </c>
      <c r="E211" s="29"/>
      <c r="F211" s="29"/>
    </row>
    <row r="212" spans="4:17" ht="15.75" thickBot="1" x14ac:dyDescent="0.3">
      <c r="D212" s="75" t="s">
        <v>177</v>
      </c>
      <c r="E212" s="76"/>
      <c r="F212" s="16" t="s">
        <v>137</v>
      </c>
      <c r="G212" s="23" t="s">
        <v>197</v>
      </c>
      <c r="H212" s="16" t="s">
        <v>178</v>
      </c>
      <c r="I212" s="16" t="s">
        <v>179</v>
      </c>
      <c r="J212" s="16" t="s">
        <v>143</v>
      </c>
      <c r="K212" s="34" t="s">
        <v>168</v>
      </c>
      <c r="L212" s="23" t="s">
        <v>144</v>
      </c>
      <c r="M212" s="12" t="s">
        <v>167</v>
      </c>
      <c r="N212" s="16" t="s">
        <v>141</v>
      </c>
      <c r="O212" s="16" t="s">
        <v>171</v>
      </c>
      <c r="P212" s="23" t="s">
        <v>142</v>
      </c>
      <c r="Q212" s="23" t="s">
        <v>172</v>
      </c>
    </row>
    <row r="213" spans="4:17" x14ac:dyDescent="0.25">
      <c r="D213" s="72" t="s">
        <v>180</v>
      </c>
      <c r="E213" s="35" t="s">
        <v>134</v>
      </c>
      <c r="F213" s="18">
        <v>6.0066100000000002</v>
      </c>
      <c r="G213" s="45">
        <v>358.93259999999998</v>
      </c>
      <c r="H213" s="86">
        <v>0</v>
      </c>
      <c r="I213" s="89">
        <v>0</v>
      </c>
      <c r="J213" s="17">
        <f>'Zed Mini'!F213-'Experimental Procedure'!$C$107</f>
        <v>6.6100000000002268E-3</v>
      </c>
      <c r="K213" s="95">
        <f>SQRT(J213^2+J214^2+J215^2)</f>
        <v>1.0077273273871942E-2</v>
      </c>
      <c r="L213" s="48">
        <f>IF('Zed Mini'!G213-'Experimental Procedure'!$D$107&lt;-180,'Zed Mini'!G213-'Experimental Procedure'!$D$107 + 360,IF('Zed Mini'!G213-'Experimental Procedure'!$D$107&gt;180,'Zed Mini'!G213-'Experimental Procedure'!$D$107 - 360,'Zed Mini'!G213-'Experimental Procedure'!$D$107))</f>
        <v>-1.0674000000000206</v>
      </c>
      <c r="M213" s="106">
        <v>3.4885957747817753</v>
      </c>
      <c r="N213" s="51" t="str">
        <f>IF('Experimental Procedure'!$E$107=0,"NaN",J213/'Experimental Procedure'!$E$107*100)</f>
        <v>NaN</v>
      </c>
      <c r="O213" s="92" t="str">
        <f>IF('Experimental Procedure'!$G$107=0,"NaN",'Zed Mini'!K213/'Experimental Procedure'!$G$107*100)</f>
        <v>NaN</v>
      </c>
      <c r="P213" s="51" t="str">
        <f>IF('Experimental Procedure'!$F$107=0,"NaN",L213/'Experimental Procedure'!$F$107*100)</f>
        <v>NaN</v>
      </c>
      <c r="Q213" s="109" t="str">
        <f>IF('Experimental Procedure'!$H$107=0,"NaN",'Zed Mini'!M213/'Experimental Procedure'!$H$107*100)</f>
        <v>NaN</v>
      </c>
    </row>
    <row r="214" spans="4:17" x14ac:dyDescent="0.25">
      <c r="D214" s="73"/>
      <c r="E214" s="35" t="s">
        <v>135</v>
      </c>
      <c r="F214" s="20">
        <v>1.4049750000000001</v>
      </c>
      <c r="G214" s="46">
        <v>0.48017460000000001</v>
      </c>
      <c r="H214" s="87"/>
      <c r="I214" s="90"/>
      <c r="J214" s="19">
        <f>'Zed Mini'!F214-'Experimental Procedure'!$C$108</f>
        <v>4.9750000000001737E-3</v>
      </c>
      <c r="K214" s="96"/>
      <c r="L214" s="49">
        <f>IF('Zed Mini'!G214-'Experimental Procedure'!$D$108&lt;-180,'Zed Mini'!G214-'Experimental Procedure'!$D$108 + 360,IF('Zed Mini'!G214-'Experimental Procedure'!$D$108&gt;180,'Zed Mini'!G214-'Experimental Procedure'!$D$108 - 360,'Zed Mini'!G214-'Experimental Procedure'!$D$108))</f>
        <v>0.48017460000000001</v>
      </c>
      <c r="M214" s="107"/>
      <c r="N214" s="52" t="str">
        <f>IF('Experimental Procedure'!$E$108=0,"NaN",J214/'Experimental Procedure'!$E$108*100)</f>
        <v>NaN</v>
      </c>
      <c r="O214" s="93"/>
      <c r="P214" s="52" t="str">
        <f>IF('Experimental Procedure'!$F$108=0,"NaN",L214/'Experimental Procedure'!$F$108*100)</f>
        <v>NaN</v>
      </c>
      <c r="Q214" s="110"/>
    </row>
    <row r="215" spans="4:17" ht="15.75" thickBot="1" x14ac:dyDescent="0.3">
      <c r="D215" s="74"/>
      <c r="E215" s="36" t="s">
        <v>136</v>
      </c>
      <c r="F215" s="22">
        <v>-5.7540170000000002E-3</v>
      </c>
      <c r="G215" s="47">
        <v>3.2819829999999999</v>
      </c>
      <c r="H215" s="88"/>
      <c r="I215" s="91"/>
      <c r="J215" s="21">
        <f>'Zed Mini'!F215-'Experimental Procedure'!$C$109</f>
        <v>-5.7540170000000002E-3</v>
      </c>
      <c r="K215" s="97"/>
      <c r="L215" s="50">
        <f>IF('Zed Mini'!G215-'Experimental Procedure'!$D$109&lt;-180,'Zed Mini'!G215-'Experimental Procedure'!$D$109 + 360,IF('Zed Mini'!G215-'Experimental Procedure'!$D$109&gt;180,'Zed Mini'!G215-'Experimental Procedure'!$D$109 - 360,'Zed Mini'!G215-'Experimental Procedure'!$D$109))</f>
        <v>3.2819829999999999</v>
      </c>
      <c r="M215" s="108"/>
      <c r="N215" s="53" t="str">
        <f>IF('Experimental Procedure'!$E$109=0,"NaN",J215/'Experimental Procedure'!$E$109*100)</f>
        <v>NaN</v>
      </c>
      <c r="O215" s="94"/>
      <c r="P215" s="53" t="str">
        <f>IF('Experimental Procedure'!$F$109=0,"NaN",L215/'Experimental Procedure'!$F$109*100)</f>
        <v>NaN</v>
      </c>
      <c r="Q215" s="111"/>
    </row>
    <row r="216" spans="4:17" x14ac:dyDescent="0.25">
      <c r="D216" s="72" t="s">
        <v>189</v>
      </c>
      <c r="E216" s="8" t="s">
        <v>134</v>
      </c>
      <c r="F216" s="17">
        <v>5.9724170000000001</v>
      </c>
      <c r="G216" s="48">
        <v>354.03309999999999</v>
      </c>
      <c r="H216" s="86">
        <f>SQRT((F213-F216)^2+(F214-F217)^2+(F215-F218)^2)</f>
        <v>3.9185450327150995</v>
      </c>
      <c r="I216" s="89">
        <v>6.963693227446627</v>
      </c>
      <c r="J216" s="17">
        <f>'Zed Mini'!F216-'Experimental Procedure'!$C$110</f>
        <v>-2.7582999999999913E-2</v>
      </c>
      <c r="K216" s="86">
        <f t="shared" ref="K216" si="64">SQRT(J216^2+J217^2+J218^2)</f>
        <v>0.19034310783162092</v>
      </c>
      <c r="L216" s="48">
        <f>IF('Zed Mini'!G216-'Experimental Procedure'!$D$110&lt;-180,'Zed Mini'!G216-'Experimental Procedure'!$D$110 + 360,IF('Zed Mini'!G216-'Experimental Procedure'!$D$110&gt;180,'Zed Mini'!G216-'Experimental Procedure'!$D$110 - 360,'Zed Mini'!G216-'Experimental Procedure'!$D$110))</f>
        <v>-5.9669000000000096</v>
      </c>
      <c r="M216" s="89">
        <v>10.075988105158347</v>
      </c>
      <c r="N216" s="51" t="str">
        <f>IF('Experimental Procedure'!$E$110=0,"NaN",J216/'Experimental Procedure'!$E$110*100)</f>
        <v>NaN</v>
      </c>
      <c r="O216" s="92">
        <f>IF('Experimental Procedure'!$G$110=0,"NaN",'Zed Mini'!K216/'Experimental Procedure'!$G$110*100)</f>
        <v>4.7585776957905228</v>
      </c>
      <c r="P216" s="51" t="str">
        <f>IF('Experimental Procedure'!$F$110=0,"NaN",L216/'Experimental Procedure'!$F$110*100)</f>
        <v>NaN</v>
      </c>
      <c r="Q216" s="109" t="str">
        <f>IF('Experimental Procedure'!$H$110=0,"NaN",'Zed Mini'!M216/'Experimental Procedure'!$H$110*100)</f>
        <v>NaN</v>
      </c>
    </row>
    <row r="217" spans="4:17" x14ac:dyDescent="0.25">
      <c r="D217" s="73"/>
      <c r="E217" s="9" t="s">
        <v>135</v>
      </c>
      <c r="F217" s="19">
        <v>1.5650930000000001</v>
      </c>
      <c r="G217" s="49">
        <v>359.09210000000002</v>
      </c>
      <c r="H217" s="87"/>
      <c r="I217" s="90"/>
      <c r="J217" s="19">
        <f>'Zed Mini'!F217-'Experimental Procedure'!$C$111</f>
        <v>0.16509300000000016</v>
      </c>
      <c r="K217" s="87"/>
      <c r="L217" s="49">
        <f>IF('Zed Mini'!G217-'Experimental Procedure'!$D$111&lt;-180,'Zed Mini'!G217-'Experimental Procedure'!$D$111 + 360,IF('Zed Mini'!G217-'Experimental Procedure'!$D$111&gt;180,'Zed Mini'!G217-'Experimental Procedure'!$D$111 - 360,'Zed Mini'!G217-'Experimental Procedure'!$D$111))</f>
        <v>-0.90789999999998372</v>
      </c>
      <c r="M217" s="90"/>
      <c r="N217" s="52" t="str">
        <f>IF('Experimental Procedure'!$E$111=0,"NaN",J217/'Experimental Procedure'!$E$111*100)</f>
        <v>NaN</v>
      </c>
      <c r="O217" s="93"/>
      <c r="P217" s="52" t="str">
        <f>IF('Experimental Procedure'!$F$111=0,"NaN",L217/'Experimental Procedure'!$F$111*100)</f>
        <v>NaN</v>
      </c>
      <c r="Q217" s="110"/>
    </row>
    <row r="218" spans="4:17" ht="15.75" thickBot="1" x14ac:dyDescent="0.3">
      <c r="D218" s="74"/>
      <c r="E218" s="10" t="s">
        <v>136</v>
      </c>
      <c r="F218" s="21">
        <v>3.9093689999999999</v>
      </c>
      <c r="G218" s="50">
        <v>8.1195319999999995</v>
      </c>
      <c r="H218" s="88"/>
      <c r="I218" s="91"/>
      <c r="J218" s="21">
        <f>'Zed Mini'!F218-'Experimental Procedure'!$C$112</f>
        <v>-9.0631000000000128E-2</v>
      </c>
      <c r="K218" s="88"/>
      <c r="L218" s="50">
        <f>IF('Zed Mini'!G218-'Experimental Procedure'!$D$112&lt;-180,'Zed Mini'!G218-'Experimental Procedure'!$D$112 + 360,IF('Zed Mini'!G218-'Experimental Procedure'!$D$112&gt;180,'Zed Mini'!G218-'Experimental Procedure'!$D$112 - 360,'Zed Mini'!G218-'Experimental Procedure'!$D$112))</f>
        <v>8.1195319999999995</v>
      </c>
      <c r="M218" s="91"/>
      <c r="N218" s="53">
        <f>IF('Experimental Procedure'!$E$112=0,"NaN",J218/'Experimental Procedure'!$E$112*100)</f>
        <v>-2.2657750000000032</v>
      </c>
      <c r="O218" s="94"/>
      <c r="P218" s="53" t="str">
        <f>IF('Experimental Procedure'!$F$112=0,"NaN",L218/'Experimental Procedure'!$F$112*100)</f>
        <v>NaN</v>
      </c>
      <c r="Q218" s="111"/>
    </row>
    <row r="219" spans="4:17" x14ac:dyDescent="0.25">
      <c r="D219" s="72" t="s">
        <v>191</v>
      </c>
      <c r="E219" s="8" t="s">
        <v>134</v>
      </c>
      <c r="F219" s="17">
        <v>5.9256510000000002</v>
      </c>
      <c r="G219" s="48">
        <v>355.81389999999999</v>
      </c>
      <c r="H219" s="86">
        <f>SQRT((F216-F219)^2+(F217-F220)^2+(F218-F221)^2)</f>
        <v>0.19716303494316545</v>
      </c>
      <c r="I219" s="89">
        <v>89.172138432057864</v>
      </c>
      <c r="J219" s="17">
        <f>'Zed Mini'!F219-'Experimental Procedure'!$C$113</f>
        <v>-7.4348999999999776E-2</v>
      </c>
      <c r="K219" s="86">
        <f t="shared" ref="K219" si="65">SQRT(J219^2+J220^2+J221^2)</f>
        <v>0.31335355053836539</v>
      </c>
      <c r="L219" s="48">
        <f>IF('Zed Mini'!G219-'Experimental Procedure'!$D$113&lt;-180,'Zed Mini'!G219-'Experimental Procedure'!$D$113 + 360,IF('Zed Mini'!G219-'Experimental Procedure'!$D$113&gt;180,'Zed Mini'!G219-'Experimental Procedure'!$D$113 - 360,'Zed Mini'!G219-'Experimental Procedure'!$D$113))</f>
        <v>-4.1861000000000104</v>
      </c>
      <c r="M219" s="89">
        <v>10.730932317243347</v>
      </c>
      <c r="N219" s="51" t="str">
        <f>IF('Experimental Procedure'!$E$113=0,"NaN",J219/'Experimental Procedure'!$E$113*100)</f>
        <v>NaN</v>
      </c>
      <c r="O219" s="92" t="str">
        <f>IF('Experimental Procedure'!$G$113=0,"NaN",'Zed Mini'!K219/'Experimental Procedure'!$G$113*100)</f>
        <v>NaN</v>
      </c>
      <c r="P219" s="51" t="str">
        <f>IF('Experimental Procedure'!$F$113=0,"NaN",L219/'Experimental Procedure'!$F$113*100)</f>
        <v>NaN</v>
      </c>
      <c r="Q219" s="109">
        <f>IF('Experimental Procedure'!$H$113=0,"NaN",'Zed Mini'!M219/'Experimental Procedure'!$H$113*100)</f>
        <v>11.923258130270385</v>
      </c>
    </row>
    <row r="220" spans="4:17" x14ac:dyDescent="0.25">
      <c r="D220" s="73"/>
      <c r="E220" s="9" t="s">
        <v>135</v>
      </c>
      <c r="F220" s="19">
        <v>1.5244470000000001</v>
      </c>
      <c r="G220" s="49">
        <v>269.7912</v>
      </c>
      <c r="H220" s="87"/>
      <c r="I220" s="90"/>
      <c r="J220" s="19">
        <f>'Zed Mini'!F220-'Experimental Procedure'!$C$114</f>
        <v>0.1244470000000002</v>
      </c>
      <c r="K220" s="87"/>
      <c r="L220" s="49">
        <f>IF('Zed Mini'!G220-'Experimental Procedure'!$D$114&lt;-180,'Zed Mini'!G220-'Experimental Procedure'!$D$114 + 360,IF('Zed Mini'!G220-'Experimental Procedure'!$D$114&gt;180,'Zed Mini'!G220-'Experimental Procedure'!$D$114 - 360,'Zed Mini'!G220-'Experimental Procedure'!$D$114))</f>
        <v>-0.20879999999999654</v>
      </c>
      <c r="M220" s="90"/>
      <c r="N220" s="52" t="str">
        <f>IF('Experimental Procedure'!$E$114=0,"NaN",J220/'Experimental Procedure'!$E$114*100)</f>
        <v>NaN</v>
      </c>
      <c r="O220" s="93"/>
      <c r="P220" s="52">
        <f>IF('Experimental Procedure'!$F$114=0,"NaN",L220/'Experimental Procedure'!$F$114*100)</f>
        <v>-0.23199999999999615</v>
      </c>
      <c r="Q220" s="110"/>
    </row>
    <row r="221" spans="4:17" ht="15.75" thickBot="1" x14ac:dyDescent="0.3">
      <c r="D221" s="74"/>
      <c r="E221" s="10" t="s">
        <v>136</v>
      </c>
      <c r="F221" s="21">
        <v>3.7221950000000001</v>
      </c>
      <c r="G221" s="50">
        <v>9.8883960000000002</v>
      </c>
      <c r="H221" s="88"/>
      <c r="I221" s="91"/>
      <c r="J221" s="21">
        <f>'Zed Mini'!F221-'Experimental Procedure'!$C$115</f>
        <v>-0.27780499999999986</v>
      </c>
      <c r="K221" s="88"/>
      <c r="L221" s="50">
        <f>IF('Zed Mini'!G221-'Experimental Procedure'!$D$115&lt;-180,'Zed Mini'!G221-'Experimental Procedure'!$D$115 + 360,IF('Zed Mini'!G221-'Experimental Procedure'!$D$115&gt;180,'Zed Mini'!G221-'Experimental Procedure'!$D$115 - 360,'Zed Mini'!G221-'Experimental Procedure'!$D$115))</f>
        <v>9.8883960000000002</v>
      </c>
      <c r="M221" s="91"/>
      <c r="N221" s="53" t="str">
        <f>IF('Experimental Procedure'!$E$115=0,"NaN",J221/'Experimental Procedure'!$E$115*100)</f>
        <v>NaN</v>
      </c>
      <c r="O221" s="94"/>
      <c r="P221" s="53" t="str">
        <f>IF('Experimental Procedure'!$F$115=0,"NaN",L221/'Experimental Procedure'!$F$115*100)</f>
        <v>NaN</v>
      </c>
      <c r="Q221" s="111"/>
    </row>
    <row r="222" spans="4:17" x14ac:dyDescent="0.25">
      <c r="D222" s="72" t="s">
        <v>188</v>
      </c>
      <c r="E222" s="9" t="s">
        <v>134</v>
      </c>
      <c r="F222" s="17">
        <v>1.4736910000000001</v>
      </c>
      <c r="G222" s="48">
        <v>352.2482</v>
      </c>
      <c r="H222" s="86">
        <f>SQRT((F219-F222)^2+(F220-F223)^2+(F221-F224)^2)</f>
        <v>4.556861075708146</v>
      </c>
      <c r="I222" s="89">
        <v>5.0452030410286008</v>
      </c>
      <c r="J222" s="17">
        <f>'Zed Mini'!F222-'Experimental Procedure'!$C$116</f>
        <v>1.4736910000000001</v>
      </c>
      <c r="K222" s="86">
        <f t="shared" ref="K222" si="66">SQRT(J222^2+J223^2+J224^2)</f>
        <v>1.8905045173992578</v>
      </c>
      <c r="L222" s="48">
        <f>IF('Zed Mini'!G222-'Experimental Procedure'!$D$116&lt;-180,'Zed Mini'!G222-'Experimental Procedure'!$D$116 + 360,IF('Zed Mini'!G222-'Experimental Procedure'!$D$116&gt;180,'Zed Mini'!G222-'Experimental Procedure'!$D$116 - 360,'Zed Mini'!G222-'Experimental Procedure'!$D$116))</f>
        <v>-7.7518000000000029</v>
      </c>
      <c r="M222" s="89">
        <v>14.067038551327101</v>
      </c>
      <c r="N222" s="51">
        <f>IF('Experimental Procedure'!$E$116=0,"NaN",J222/'Experimental Procedure'!$E$116*100)</f>
        <v>24.56151666666667</v>
      </c>
      <c r="O222" s="92">
        <f>IF('Experimental Procedure'!$G$116=0,"NaN",'Zed Mini'!K222/'Experimental Procedure'!$G$116*100)</f>
        <v>31.508408623320967</v>
      </c>
      <c r="P222" s="51" t="str">
        <f>IF('Experimental Procedure'!$F$116=0,"NaN",L222/'Experimental Procedure'!$F$116*100)</f>
        <v>NaN</v>
      </c>
      <c r="Q222" s="109" t="str">
        <f>IF('Experimental Procedure'!$H$116=0,"NaN",'Zed Mini'!M222/'Experimental Procedure'!$H$116*100)</f>
        <v>NaN</v>
      </c>
    </row>
    <row r="223" spans="4:17" x14ac:dyDescent="0.25">
      <c r="D223" s="73"/>
      <c r="E223" s="9" t="s">
        <v>135</v>
      </c>
      <c r="F223" s="19">
        <v>2.4681489999999999</v>
      </c>
      <c r="G223" s="49">
        <v>272.99810000000002</v>
      </c>
      <c r="H223" s="87"/>
      <c r="I223" s="90"/>
      <c r="J223" s="19">
        <f>'Zed Mini'!F223-'Experimental Procedure'!$C$117</f>
        <v>1.068149</v>
      </c>
      <c r="K223" s="87"/>
      <c r="L223" s="49">
        <f>IF('Zed Mini'!G223-'Experimental Procedure'!$D$117&lt;-180,'Zed Mini'!G223-'Experimental Procedure'!$D$117 + 360,IF('Zed Mini'!G223-'Experimental Procedure'!$D$117&gt;180,'Zed Mini'!G223-'Experimental Procedure'!$D$117 - 360,'Zed Mini'!G223-'Experimental Procedure'!$D$117))</f>
        <v>2.9981000000000222</v>
      </c>
      <c r="M223" s="90"/>
      <c r="N223" s="52" t="str">
        <f>IF('Experimental Procedure'!$E$117=0,"NaN",J223/'Experimental Procedure'!$E$117*100)</f>
        <v>NaN</v>
      </c>
      <c r="O223" s="93"/>
      <c r="P223" s="52" t="str">
        <f>IF('Experimental Procedure'!$F$117=0,"NaN",L223/'Experimental Procedure'!$F$117*100)</f>
        <v>NaN</v>
      </c>
      <c r="Q223" s="110"/>
    </row>
    <row r="224" spans="4:17" ht="15.75" thickBot="1" x14ac:dyDescent="0.3">
      <c r="D224" s="74"/>
      <c r="E224" s="10" t="s">
        <v>136</v>
      </c>
      <c r="F224" s="21">
        <v>3.4888249999999998</v>
      </c>
      <c r="G224" s="50">
        <v>11.158340000000001</v>
      </c>
      <c r="H224" s="88"/>
      <c r="I224" s="91"/>
      <c r="J224" s="21">
        <f>'Zed Mini'!F224-'Experimental Procedure'!$C$118</f>
        <v>-0.51117500000000016</v>
      </c>
      <c r="K224" s="88"/>
      <c r="L224" s="50">
        <f>IF('Zed Mini'!G224-'Experimental Procedure'!$D$118&lt;-180,'Zed Mini'!G224-'Experimental Procedure'!$D$118 + 360,IF('Zed Mini'!G224-'Experimental Procedure'!$D$118&gt;180,'Zed Mini'!G224-'Experimental Procedure'!$D$118 - 360,'Zed Mini'!G224-'Experimental Procedure'!$D$118))</f>
        <v>11.158340000000001</v>
      </c>
      <c r="M224" s="91"/>
      <c r="N224" s="53" t="str">
        <f>IF('Experimental Procedure'!$E$118=0,"NaN",J224/'Experimental Procedure'!$E$118*100)</f>
        <v>NaN</v>
      </c>
      <c r="O224" s="94"/>
      <c r="P224" s="53" t="str">
        <f>IF('Experimental Procedure'!$F$118=0,"NaN",L224/'Experimental Procedure'!$F$118*100)</f>
        <v>NaN</v>
      </c>
      <c r="Q224" s="111"/>
    </row>
    <row r="225" spans="4:17" x14ac:dyDescent="0.25">
      <c r="D225" s="72" t="s">
        <v>191</v>
      </c>
      <c r="E225" s="8" t="s">
        <v>134</v>
      </c>
      <c r="F225" s="17">
        <v>1.594249</v>
      </c>
      <c r="G225" s="48">
        <v>358.88229999999999</v>
      </c>
      <c r="H225" s="86">
        <f>SQRT((F222-F225)^2+(F223-F226)^2+(F224-F227)^2)</f>
        <v>0.13742305965521209</v>
      </c>
      <c r="I225" s="89">
        <v>93.986235994705879</v>
      </c>
      <c r="J225" s="17">
        <f>'Zed Mini'!F225-'Experimental Procedure'!$C$119</f>
        <v>1.594249</v>
      </c>
      <c r="K225" s="86">
        <f t="shared" ref="K225" si="67">SQRT(J225^2+J226^2+J227^2)</f>
        <v>1.9976757818840372</v>
      </c>
      <c r="L225" s="48">
        <f>IF('Zed Mini'!G225-'Experimental Procedure'!$D$119&lt;-180,'Zed Mini'!G225-'Experimental Procedure'!$D$119 + 360,IF('Zed Mini'!G225-'Experimental Procedure'!$D$119&gt;180,'Zed Mini'!G225-'Experimental Procedure'!$D$119 - 360,'Zed Mini'!G225-'Experimental Procedure'!$D$119))</f>
        <v>-1.1177000000000135</v>
      </c>
      <c r="M225" s="89">
        <v>4.1076542391510307</v>
      </c>
      <c r="N225" s="51" t="str">
        <f>IF('Experimental Procedure'!$E$119=0,"NaN",J225/'Experimental Procedure'!$E$119*100)</f>
        <v>NaN</v>
      </c>
      <c r="O225" s="92" t="str">
        <f>IF('Experimental Procedure'!$G$119=0,"NaN",'Zed Mini'!K225/'Experimental Procedure'!$G$119*100)</f>
        <v>NaN</v>
      </c>
      <c r="P225" s="51" t="str">
        <f>IF('Experimental Procedure'!$F$119=0,"NaN",L225/'Experimental Procedure'!$F$119*100)</f>
        <v>NaN</v>
      </c>
      <c r="Q225" s="109">
        <f>IF('Experimental Procedure'!$H$119=0,"NaN",'Zed Mini'!M225/'Experimental Procedure'!$H$119*100)</f>
        <v>4.5640602657233682</v>
      </c>
    </row>
    <row r="226" spans="4:17" x14ac:dyDescent="0.25">
      <c r="D226" s="73"/>
      <c r="E226" s="9" t="s">
        <v>135</v>
      </c>
      <c r="F226" s="19">
        <v>2.4569299999999998</v>
      </c>
      <c r="G226" s="49">
        <v>179.9614</v>
      </c>
      <c r="H226" s="87"/>
      <c r="I226" s="90"/>
      <c r="J226" s="19">
        <f>'Zed Mini'!F226-'Experimental Procedure'!$C$120</f>
        <v>1.0569299999999999</v>
      </c>
      <c r="K226" s="87"/>
      <c r="L226" s="49">
        <f>IF('Zed Mini'!G226-'Experimental Procedure'!$D$120&lt;-180,'Zed Mini'!G226-'Experimental Procedure'!$D$120 + 360,IF('Zed Mini'!G226-'Experimental Procedure'!$D$120&gt;180,'Zed Mini'!G226-'Experimental Procedure'!$D$120 - 360,'Zed Mini'!G226-'Experimental Procedure'!$D$120))</f>
        <v>-3.860000000000241E-2</v>
      </c>
      <c r="M226" s="90"/>
      <c r="N226" s="52" t="str">
        <f>IF('Experimental Procedure'!$E$120=0,"NaN",J226/'Experimental Procedure'!$E$120*100)</f>
        <v>NaN</v>
      </c>
      <c r="O226" s="93"/>
      <c r="P226" s="52">
        <f>IF('Experimental Procedure'!$F$120=0,"NaN",L226/'Experimental Procedure'!$F$120*100)</f>
        <v>-4.2888888888891565E-2</v>
      </c>
      <c r="Q226" s="110"/>
    </row>
    <row r="227" spans="4:17" ht="15.75" thickBot="1" x14ac:dyDescent="0.3">
      <c r="D227" s="74"/>
      <c r="E227" s="10" t="s">
        <v>136</v>
      </c>
      <c r="F227" s="21">
        <v>3.4238249999999999</v>
      </c>
      <c r="G227" s="50">
        <v>3.9529169999999998</v>
      </c>
      <c r="H227" s="88"/>
      <c r="I227" s="91"/>
      <c r="J227" s="21">
        <f>'Zed Mini'!F227-'Experimental Procedure'!$C$121</f>
        <v>-0.5761750000000001</v>
      </c>
      <c r="K227" s="88"/>
      <c r="L227" s="50">
        <f>IF('Zed Mini'!G227-'Experimental Procedure'!$D$121&lt;-180,'Zed Mini'!G227-'Experimental Procedure'!$D$121 + 360,IF('Zed Mini'!G227-'Experimental Procedure'!$D$121&gt;180,'Zed Mini'!G227-'Experimental Procedure'!$D$121 - 360,'Zed Mini'!G227-'Experimental Procedure'!$D$121))</f>
        <v>3.9529169999999998</v>
      </c>
      <c r="M227" s="91"/>
      <c r="N227" s="53" t="str">
        <f>IF('Experimental Procedure'!$E$121=0,"NaN",J227/'Experimental Procedure'!$E$121*100)</f>
        <v>NaN</v>
      </c>
      <c r="O227" s="94"/>
      <c r="P227" s="53" t="str">
        <f>IF('Experimental Procedure'!$F$121=0,"NaN",L227/'Experimental Procedure'!$F$121*100)</f>
        <v>NaN</v>
      </c>
      <c r="Q227" s="111"/>
    </row>
    <row r="228" spans="4:17" x14ac:dyDescent="0.25">
      <c r="D228" s="72" t="s">
        <v>190</v>
      </c>
      <c r="E228" s="8" t="s">
        <v>134</v>
      </c>
      <c r="F228" s="17">
        <v>1.4711160000000001</v>
      </c>
      <c r="G228" s="48">
        <v>358.0804</v>
      </c>
      <c r="H228" s="86">
        <f>SQRT((F225-F228)^2+(F226-F229)^2+(F227-F230)^2)</f>
        <v>2.666579959984444</v>
      </c>
      <c r="I228" s="89">
        <v>7.1250823916041242</v>
      </c>
      <c r="J228" s="17">
        <f>'Zed Mini'!F228-'Experimental Procedure'!$C$122</f>
        <v>1.4711160000000001</v>
      </c>
      <c r="K228" s="86">
        <f t="shared" ref="K228" si="68">SQRT(J228^2+J229^2+J230^2)</f>
        <v>1.9893090103658206</v>
      </c>
      <c r="L228" s="48">
        <f>IF('Zed Mini'!G228-'Experimental Procedure'!$D$122&lt;-180,'Zed Mini'!G228-'Experimental Procedure'!$D$122 + 360,IF('Zed Mini'!G228-'Experimental Procedure'!$D$122&gt;180,'Zed Mini'!G228-'Experimental Procedure'!$D$122 - 360,'Zed Mini'!G228-'Experimental Procedure'!$D$122))</f>
        <v>-1.9196000000000026</v>
      </c>
      <c r="M228" s="89">
        <v>9.4244869655911874</v>
      </c>
      <c r="N228" s="51" t="str">
        <f>IF('Experimental Procedure'!$E$122=0,"NaN",J228/'Experimental Procedure'!$E$122*100)</f>
        <v>NaN</v>
      </c>
      <c r="O228" s="92">
        <f>IF('Experimental Procedure'!$G$122=0,"NaN",'Zed Mini'!K228/'Experimental Procedure'!$G$122*100)</f>
        <v>49.732725259145518</v>
      </c>
      <c r="P228" s="51" t="str">
        <f>IF('Experimental Procedure'!$F$122=0,"NaN",L228/'Experimental Procedure'!$F$122*100)</f>
        <v>NaN</v>
      </c>
      <c r="Q228" s="109" t="str">
        <f>IF('Experimental Procedure'!$H$122=0,"NaN",'Zed Mini'!M228/'Experimental Procedure'!$H$122*100)</f>
        <v>NaN</v>
      </c>
    </row>
    <row r="229" spans="4:17" x14ac:dyDescent="0.25">
      <c r="D229" s="73"/>
      <c r="E229" s="9" t="s">
        <v>135</v>
      </c>
      <c r="F229" s="19">
        <v>2.5022009999999999</v>
      </c>
      <c r="G229" s="49">
        <v>186.53870000000001</v>
      </c>
      <c r="H229" s="87"/>
      <c r="I229" s="90"/>
      <c r="J229" s="19">
        <f>'Zed Mini'!F229-'Experimental Procedure'!$C$123</f>
        <v>1.102201</v>
      </c>
      <c r="K229" s="87"/>
      <c r="L229" s="49">
        <f>IF('Zed Mini'!G229-'Experimental Procedure'!$D$123&lt;-180,'Zed Mini'!G229-'Experimental Procedure'!$D$123 + 360,IF('Zed Mini'!G229-'Experimental Procedure'!$D$123&gt;180,'Zed Mini'!G229-'Experimental Procedure'!$D$123 - 360,'Zed Mini'!G229-'Experimental Procedure'!$D$123))</f>
        <v>6.5387000000000057</v>
      </c>
      <c r="M229" s="90"/>
      <c r="N229" s="52" t="str">
        <f>IF('Experimental Procedure'!$E$123=0,"NaN",J229/'Experimental Procedure'!$E$123*100)</f>
        <v>NaN</v>
      </c>
      <c r="O229" s="93"/>
      <c r="P229" s="52" t="str">
        <f>IF('Experimental Procedure'!$F$123=0,"NaN",L229/'Experimental Procedure'!$F$123*100)</f>
        <v>NaN</v>
      </c>
      <c r="Q229" s="110"/>
    </row>
    <row r="230" spans="4:17" ht="15.75" thickBot="1" x14ac:dyDescent="0.3">
      <c r="D230" s="74"/>
      <c r="E230" s="10" t="s">
        <v>136</v>
      </c>
      <c r="F230" s="21">
        <v>0.76047419999999999</v>
      </c>
      <c r="G230" s="50">
        <v>6.4055150000000003</v>
      </c>
      <c r="H230" s="88"/>
      <c r="I230" s="91"/>
      <c r="J230" s="21">
        <f>'Zed Mini'!F230-'Experimental Procedure'!$C$124</f>
        <v>0.76047419999999999</v>
      </c>
      <c r="K230" s="88"/>
      <c r="L230" s="50">
        <f>IF('Zed Mini'!G230-'Experimental Procedure'!$D$124&lt;-180,'Zed Mini'!G230-'Experimental Procedure'!$D$124 + 360,IF('Zed Mini'!G230-'Experimental Procedure'!$D$124&gt;180,'Zed Mini'!G230-'Experimental Procedure'!$D$124 - 360,'Zed Mini'!G230-'Experimental Procedure'!$D$124))</f>
        <v>6.4055150000000003</v>
      </c>
      <c r="M230" s="91"/>
      <c r="N230" s="53">
        <f>IF('Experimental Procedure'!$E$124=0,"NaN",J230/'Experimental Procedure'!$E$124*100)</f>
        <v>19.011855000000001</v>
      </c>
      <c r="O230" s="94"/>
      <c r="P230" s="53" t="str">
        <f>IF('Experimental Procedure'!$F$124=0,"NaN",L230/'Experimental Procedure'!$F$124*100)</f>
        <v>NaN</v>
      </c>
      <c r="Q230" s="111"/>
    </row>
    <row r="231" spans="4:17" x14ac:dyDescent="0.25">
      <c r="D231" s="72" t="s">
        <v>191</v>
      </c>
      <c r="E231" s="8" t="s">
        <v>134</v>
      </c>
      <c r="F231" s="17">
        <v>1.487144</v>
      </c>
      <c r="G231" s="48">
        <v>355.1814</v>
      </c>
      <c r="H231" s="86">
        <f>SQRT((F228-F231)^2+(F229-F232)^2+(F230-F233)^2)</f>
        <v>3.28796801123429E-2</v>
      </c>
      <c r="I231" s="89">
        <v>92.220771763092685</v>
      </c>
      <c r="J231" s="17">
        <f>'Zed Mini'!F231-'Experimental Procedure'!$C$125</f>
        <v>1.487144</v>
      </c>
      <c r="K231" s="86">
        <f t="shared" ref="K231" si="69">SQRT(J231^2+J232^2+J233^2)</f>
        <v>2.0077878581001158</v>
      </c>
      <c r="L231" s="48">
        <f>IF('Zed Mini'!G231-'Experimental Procedure'!$D$125&lt;-180,'Zed Mini'!G231-'Experimental Procedure'!$D$125 + 360,IF('Zed Mini'!G231-'Experimental Procedure'!$D$125&gt;180,'Zed Mini'!G231-'Experimental Procedure'!$D$125 - 360,'Zed Mini'!G231-'Experimental Procedure'!$D$125))</f>
        <v>-4.8186000000000035</v>
      </c>
      <c r="M231" s="89">
        <v>10.1717783708076</v>
      </c>
      <c r="N231" s="51" t="str">
        <f>IF('Experimental Procedure'!$E$125=0,"NaN",J231/'Experimental Procedure'!$E$125*100)</f>
        <v>NaN</v>
      </c>
      <c r="O231" s="92" t="str">
        <f>IF('Experimental Procedure'!$G$125=0,"NaN",'Zed Mini'!K231/'Experimental Procedure'!$G$125*100)</f>
        <v>NaN</v>
      </c>
      <c r="P231" s="51" t="str">
        <f>IF('Experimental Procedure'!$F$125=0,"NaN",L231/'Experimental Procedure'!$F$125*100)</f>
        <v>NaN</v>
      </c>
      <c r="Q231" s="109">
        <f>IF('Experimental Procedure'!$H$125=0,"NaN",'Zed Mini'!M231/'Experimental Procedure'!$H$125*100)</f>
        <v>11.301975967563999</v>
      </c>
    </row>
    <row r="232" spans="4:17" x14ac:dyDescent="0.25">
      <c r="D232" s="73"/>
      <c r="E232" s="9" t="s">
        <v>135</v>
      </c>
      <c r="F232" s="19">
        <v>2.494704</v>
      </c>
      <c r="G232" s="49">
        <v>94.284440000000004</v>
      </c>
      <c r="H232" s="87"/>
      <c r="I232" s="90"/>
      <c r="J232" s="19">
        <f>'Zed Mini'!F232-'Experimental Procedure'!$C$126</f>
        <v>1.0947040000000001</v>
      </c>
      <c r="K232" s="87"/>
      <c r="L232" s="49">
        <f>IF('Zed Mini'!G232-'Experimental Procedure'!$D$126&lt;-180,'Zed Mini'!G232-'Experimental Procedure'!$D$126 + 360,IF('Zed Mini'!G232-'Experimental Procedure'!$D$126&gt;180,'Zed Mini'!G232-'Experimental Procedure'!$D$126 - 360,'Zed Mini'!G232-'Experimental Procedure'!$D$126))</f>
        <v>4.2844400000000036</v>
      </c>
      <c r="M232" s="90"/>
      <c r="N232" s="52" t="str">
        <f>IF('Experimental Procedure'!$E$126=0,"NaN",J232/'Experimental Procedure'!$E$126*100)</f>
        <v>NaN</v>
      </c>
      <c r="O232" s="93"/>
      <c r="P232" s="52">
        <f>IF('Experimental Procedure'!$F$126=0,"NaN",L232/'Experimental Procedure'!$F$126*100)</f>
        <v>4.7604888888888928</v>
      </c>
      <c r="Q232" s="110"/>
    </row>
    <row r="233" spans="4:17" ht="15.75" thickBot="1" x14ac:dyDescent="0.3">
      <c r="D233" s="74"/>
      <c r="E233" s="10" t="s">
        <v>136</v>
      </c>
      <c r="F233" s="21">
        <v>0.78818650000000001</v>
      </c>
      <c r="G233" s="50">
        <v>7.6935580000000003</v>
      </c>
      <c r="H233" s="88"/>
      <c r="I233" s="91"/>
      <c r="J233" s="21">
        <f>'Zed Mini'!F233-'Experimental Procedure'!$C$127</f>
        <v>0.78818650000000001</v>
      </c>
      <c r="K233" s="88"/>
      <c r="L233" s="50">
        <f>IF('Zed Mini'!G233-'Experimental Procedure'!$D$127&lt;-180,'Zed Mini'!G233-'Experimental Procedure'!$D$127 + 360,IF('Zed Mini'!G233-'Experimental Procedure'!$D$127&gt;180,'Zed Mini'!G233-'Experimental Procedure'!$D$127 - 360,'Zed Mini'!G233-'Experimental Procedure'!$D$127))</f>
        <v>7.6935580000000003</v>
      </c>
      <c r="M233" s="91"/>
      <c r="N233" s="53" t="str">
        <f>IF('Experimental Procedure'!$E$127=0,"NaN",J233/'Experimental Procedure'!$E$127*100)</f>
        <v>NaN</v>
      </c>
      <c r="O233" s="94"/>
      <c r="P233" s="53" t="str">
        <f>IF('Experimental Procedure'!$F$127=0,"NaN",L233/'Experimental Procedure'!$F$127*100)</f>
        <v>NaN</v>
      </c>
      <c r="Q233" s="111"/>
    </row>
    <row r="234" spans="4:17" x14ac:dyDescent="0.25">
      <c r="D234" s="72" t="s">
        <v>180</v>
      </c>
      <c r="E234" s="8" t="s">
        <v>134</v>
      </c>
      <c r="F234" s="17">
        <v>7.1677479999999996</v>
      </c>
      <c r="G234" s="48">
        <v>356.2192</v>
      </c>
      <c r="H234" s="86">
        <f>SQRT((F231-F234)^2+(F232-F235)^2+(F233-F236)^2)</f>
        <v>5.7365289871419627</v>
      </c>
      <c r="I234" s="89">
        <v>4.3943348865965062</v>
      </c>
      <c r="J234" s="17">
        <f>'Zed Mini'!F234-'Experimental Procedure'!$C$128</f>
        <v>1.1677479999999996</v>
      </c>
      <c r="K234" s="86">
        <f t="shared" ref="K234" si="70">SQRT(J234^2+J235^2+J236^2)</f>
        <v>2.3047608465370653</v>
      </c>
      <c r="L234" s="48">
        <f>IF('Zed Mini'!G234-'Experimental Procedure'!$D$128&lt;-180,'Zed Mini'!G234-'Experimental Procedure'!$D$128 + 360,IF('Zed Mini'!G234-'Experimental Procedure'!$D$128&gt;180,'Zed Mini'!G234-'Experimental Procedure'!$D$128 - 360,'Zed Mini'!G234-'Experimental Procedure'!$D$128))</f>
        <v>-3.7807999999999993</v>
      </c>
      <c r="M234" s="89">
        <v>12.069064091719564</v>
      </c>
      <c r="N234" s="51">
        <f>IF('Experimental Procedure'!$E$128=0,"NaN",J234/'Experimental Procedure'!$E$128*100)</f>
        <v>19.462466666666657</v>
      </c>
      <c r="O234" s="92">
        <f>IF('Experimental Procedure'!$G$128=0,"NaN",'Zed Mini'!K234/'Experimental Procedure'!$G$128*100)</f>
        <v>38.412680775617751</v>
      </c>
      <c r="P234" s="51" t="str">
        <f>IF('Experimental Procedure'!$F$128=0,"NaN",L234/'Experimental Procedure'!$F$128*100)</f>
        <v>NaN</v>
      </c>
      <c r="Q234" s="109" t="str">
        <f>IF('Experimental Procedure'!$H$128=0,"NaN",'Zed Mini'!M234/'Experimental Procedure'!$H$128*100)</f>
        <v>NaN</v>
      </c>
    </row>
    <row r="235" spans="4:17" x14ac:dyDescent="0.25">
      <c r="D235" s="73"/>
      <c r="E235" s="9" t="s">
        <v>135</v>
      </c>
      <c r="F235" s="19">
        <v>3.2803439999999999</v>
      </c>
      <c r="G235" s="49">
        <v>98.566509999999994</v>
      </c>
      <c r="H235" s="87"/>
      <c r="I235" s="90"/>
      <c r="J235" s="19">
        <f>'Zed Mini'!F235-'Experimental Procedure'!$C$129</f>
        <v>1.880344</v>
      </c>
      <c r="K235" s="87"/>
      <c r="L235" s="49">
        <f>IF('Zed Mini'!G235-'Experimental Procedure'!$D$129&lt;-180,'Zed Mini'!G235-'Experimental Procedure'!$D$129 + 360,IF('Zed Mini'!G235-'Experimental Procedure'!$D$129&gt;180,'Zed Mini'!G235-'Experimental Procedure'!$D$129 - 360,'Zed Mini'!G235-'Experimental Procedure'!$D$129))</f>
        <v>8.5665099999999939</v>
      </c>
      <c r="M235" s="90"/>
      <c r="N235" s="52" t="str">
        <f>IF('Experimental Procedure'!$E$129=0,"NaN",J235/'Experimental Procedure'!$E$129*100)</f>
        <v>NaN</v>
      </c>
      <c r="O235" s="93"/>
      <c r="P235" s="52" t="str">
        <f>IF('Experimental Procedure'!$F$129=0,"NaN",L235/'Experimental Procedure'!$F$129*100)</f>
        <v>NaN</v>
      </c>
      <c r="Q235" s="110"/>
    </row>
    <row r="236" spans="4:17" ht="15.75" thickBot="1" x14ac:dyDescent="0.3">
      <c r="D236" s="74"/>
      <c r="E236" s="10" t="s">
        <v>136</v>
      </c>
      <c r="F236" s="21">
        <v>0.64233450000000003</v>
      </c>
      <c r="G236" s="50">
        <v>7.3468660000000003</v>
      </c>
      <c r="H236" s="88"/>
      <c r="I236" s="91"/>
      <c r="J236" s="21">
        <f>'Zed Mini'!F236-'Experimental Procedure'!$C$130</f>
        <v>0.64233450000000003</v>
      </c>
      <c r="K236" s="88"/>
      <c r="L236" s="50">
        <f>IF('Zed Mini'!G236-'Experimental Procedure'!$D$130&lt;-180,'Zed Mini'!G236-'Experimental Procedure'!$D$130 + 360,IF('Zed Mini'!G236-'Experimental Procedure'!$D$130&gt;180,'Zed Mini'!G236-'Experimental Procedure'!$D$130 - 360,'Zed Mini'!G236-'Experimental Procedure'!$D$130))</f>
        <v>7.3468660000000003</v>
      </c>
      <c r="M236" s="91"/>
      <c r="N236" s="53" t="str">
        <f>IF('Experimental Procedure'!$E$130=0,"NaN",J236/'Experimental Procedure'!$E$130*100)</f>
        <v>NaN</v>
      </c>
      <c r="O236" s="94"/>
      <c r="P236" s="53" t="str">
        <f>IF('Experimental Procedure'!$F$130=0,"NaN",L236/'Experimental Procedure'!$F$130*100)</f>
        <v>NaN</v>
      </c>
      <c r="Q236" s="111"/>
    </row>
    <row r="237" spans="4:17" x14ac:dyDescent="0.25">
      <c r="D237" s="83" t="s">
        <v>192</v>
      </c>
      <c r="E237" s="8" t="s">
        <v>134</v>
      </c>
      <c r="F237" s="17">
        <v>5.9807959999999998</v>
      </c>
      <c r="G237" s="48">
        <v>354.02940000000001</v>
      </c>
      <c r="H237" s="86">
        <f>SQRT((F234-F237)^2+(F235-F238)^2+(F236-F239)^2)</f>
        <v>2.3190205280587963</v>
      </c>
      <c r="I237" s="89">
        <v>95.832235236653162</v>
      </c>
      <c r="J237" s="17">
        <f>'Zed Mini'!F237-'Experimental Procedure'!$C$131</f>
        <v>-1.9204000000000221E-2</v>
      </c>
      <c r="K237" s="86">
        <f t="shared" ref="K237" si="71">SQRT(J237^2+J238^2+J239^2)</f>
        <v>6.242815877502806E-2</v>
      </c>
      <c r="L237" s="48">
        <f>IF('Zed Mini'!G237-'Experimental Procedure'!$D$131&lt;-180,'Zed Mini'!G237-'Experimental Procedure'!$D$131 + 360,IF('Zed Mini'!G237-'Experimental Procedure'!$D$131&gt;180,'Zed Mini'!G237-'Experimental Procedure'!$D$131 - 360,'Zed Mini'!G237-'Experimental Procedure'!$D$131))</f>
        <v>-5.9705999999999904</v>
      </c>
      <c r="M237" s="89">
        <v>11.607455955136452</v>
      </c>
      <c r="N237" s="51" t="str">
        <f>IF('Experimental Procedure'!$E$131=0,"NaN",J237/'Experimental Procedure'!$E$131*100)</f>
        <v>NaN</v>
      </c>
      <c r="O237" s="92" t="str">
        <f>IF('Experimental Procedure'!$G$131=0,"NaN",'Zed Mini'!K237/'Experimental Procedure'!$G$131*100)</f>
        <v>NaN</v>
      </c>
      <c r="P237" s="51" t="str">
        <f>IF('Experimental Procedure'!$F$131=0,"NaN",L237/'Experimental Procedure'!$F$131*100)</f>
        <v>NaN</v>
      </c>
      <c r="Q237" s="109">
        <f>IF('Experimental Procedure'!$H$131=0,"NaN",'Zed Mini'!M237/'Experimental Procedure'!$H$131*100)</f>
        <v>12.897173283484948</v>
      </c>
    </row>
    <row r="238" spans="4:17" x14ac:dyDescent="0.25">
      <c r="D238" s="84"/>
      <c r="E238" s="9" t="s">
        <v>135</v>
      </c>
      <c r="F238" s="19">
        <v>1.4150590000000001</v>
      </c>
      <c r="G238" s="49">
        <v>2.5894330000000001</v>
      </c>
      <c r="H238" s="87"/>
      <c r="I238" s="90"/>
      <c r="J238" s="19">
        <f>'Zed Mini'!F238-'Experimental Procedure'!$C$132</f>
        <v>1.5059000000000156E-2</v>
      </c>
      <c r="K238" s="87"/>
      <c r="L238" s="49">
        <f>IF('Zed Mini'!G238-'Experimental Procedure'!$D$132&lt;-180,'Zed Mini'!G238-'Experimental Procedure'!$D$132 + 360,IF('Zed Mini'!G238-'Experimental Procedure'!$D$132&gt;180,'Zed Mini'!G238-'Experimental Procedure'!$D$132 - 360,'Zed Mini'!G238-'Experimental Procedure'!$D$132))</f>
        <v>2.5894330000000001</v>
      </c>
      <c r="M238" s="90"/>
      <c r="N238" s="52" t="str">
        <f>IF('Experimental Procedure'!$E$132=0,"NaN",J238/'Experimental Procedure'!$E$132*100)</f>
        <v>NaN</v>
      </c>
      <c r="O238" s="93"/>
      <c r="P238" s="52">
        <f>IF('Experimental Procedure'!$F$132=0,"NaN",L238/'Experimental Procedure'!$F$132*100)</f>
        <v>2.8771477777777781</v>
      </c>
      <c r="Q238" s="110"/>
    </row>
    <row r="239" spans="4:17" ht="15.75" thickBot="1" x14ac:dyDescent="0.3">
      <c r="D239" s="85"/>
      <c r="E239" s="10" t="s">
        <v>136</v>
      </c>
      <c r="F239" s="21">
        <v>-5.7460490000000003E-2</v>
      </c>
      <c r="G239" s="50">
        <v>9.4828139999999994</v>
      </c>
      <c r="H239" s="88"/>
      <c r="I239" s="91"/>
      <c r="J239" s="21">
        <f>'Zed Mini'!F239-'Experimental Procedure'!$C$133</f>
        <v>-5.7460490000000003E-2</v>
      </c>
      <c r="K239" s="88"/>
      <c r="L239" s="50">
        <f>IF('Zed Mini'!G239-'Experimental Procedure'!$D$133&lt;-180,'Zed Mini'!G239-'Experimental Procedure'!$D$133 + 360,IF('Zed Mini'!G239-'Experimental Procedure'!$D$133&gt;180,'Zed Mini'!G239-'Experimental Procedure'!$D$133 - 360,'Zed Mini'!G239-'Experimental Procedure'!$D$133))</f>
        <v>9.4828139999999994</v>
      </c>
      <c r="M239" s="91"/>
      <c r="N239" s="53" t="str">
        <f>IF('Experimental Procedure'!$E$133=0,"NaN",J239/'Experimental Procedure'!$E$133*100)</f>
        <v>NaN</v>
      </c>
      <c r="O239" s="94"/>
      <c r="P239" s="53" t="str">
        <f>IF('Experimental Procedure'!$F$133=0,"NaN",L239/'Experimental Procedure'!$F$133*100)</f>
        <v>NaN</v>
      </c>
      <c r="Q239" s="111"/>
    </row>
    <row r="240" spans="4:17" x14ac:dyDescent="0.25">
      <c r="D240" s="72" t="s">
        <v>189</v>
      </c>
      <c r="E240" s="8" t="s">
        <v>134</v>
      </c>
      <c r="F240" s="17">
        <v>5.957821</v>
      </c>
      <c r="G240" s="48">
        <v>357.57889999999998</v>
      </c>
      <c r="H240" s="86">
        <f>SQRT((F237-F240)^2+(F238-F241)^2+(F239-F242)^2)</f>
        <v>3.9967754518888201</v>
      </c>
      <c r="I240" s="89">
        <v>5.0943043684563794</v>
      </c>
      <c r="J240" s="17">
        <f>'Zed Mini'!F240-'Experimental Procedure'!$C$110</f>
        <v>-4.2178999999999967E-2</v>
      </c>
      <c r="K240" s="86">
        <f t="shared" ref="K240" si="72">SQRT(J240^2+J241^2+J242^2)</f>
        <v>0.15902444758275378</v>
      </c>
      <c r="L240" s="48">
        <f>IF('Zed Mini'!G240-'Experimental Procedure'!$D$110&lt;-180,'Zed Mini'!G240-'Experimental Procedure'!$D$110 + 360,IF('Zed Mini'!G240-'Experimental Procedure'!$D$110&gt;180,'Zed Mini'!G240-'Experimental Procedure'!$D$110 - 360,'Zed Mini'!G240-'Experimental Procedure'!$D$110))</f>
        <v>-2.421100000000024</v>
      </c>
      <c r="M240" s="89">
        <v>9.3896167324482924</v>
      </c>
      <c r="N240" s="51" t="str">
        <f>IF('Experimental Procedure'!$E$110=0,"NaN",J240/'Experimental Procedure'!$E$110*100)</f>
        <v>NaN</v>
      </c>
      <c r="O240" s="92">
        <f>IF('Experimental Procedure'!$G$110=0,"NaN",'Zed Mini'!K240/'Experimental Procedure'!$G$110*100)</f>
        <v>3.9756111895688444</v>
      </c>
      <c r="P240" s="51" t="str">
        <f>IF('Experimental Procedure'!$F$110=0,"NaN",L240/'Experimental Procedure'!$F$110*100)</f>
        <v>NaN</v>
      </c>
      <c r="Q240" s="109" t="str">
        <f>IF('Experimental Procedure'!$H$110=0,"NaN",'Zed Mini'!M240/'Experimental Procedure'!$H$110*100)</f>
        <v>NaN</v>
      </c>
    </row>
    <row r="241" spans="4:17" x14ac:dyDescent="0.25">
      <c r="D241" s="73"/>
      <c r="E241" s="9" t="s">
        <v>135</v>
      </c>
      <c r="F241" s="19">
        <v>1.539922</v>
      </c>
      <c r="G241" s="49">
        <v>358.99419999999998</v>
      </c>
      <c r="H241" s="87"/>
      <c r="I241" s="90"/>
      <c r="J241" s="19">
        <f>'Zed Mini'!F241-'Experimental Procedure'!$C$111</f>
        <v>0.1399220000000001</v>
      </c>
      <c r="K241" s="87"/>
      <c r="L241" s="49">
        <f>IF('Zed Mini'!G241-'Experimental Procedure'!$D$111&lt;-180,'Zed Mini'!G241-'Experimental Procedure'!$D$111 + 360,IF('Zed Mini'!G241-'Experimental Procedure'!$D$111&gt;180,'Zed Mini'!G241-'Experimental Procedure'!$D$111 - 360,'Zed Mini'!G241-'Experimental Procedure'!$D$111))</f>
        <v>-1.005800000000022</v>
      </c>
      <c r="M241" s="90"/>
      <c r="N241" s="52" t="str">
        <f>IF('Experimental Procedure'!$E$111=0,"NaN",J241/'Experimental Procedure'!$E$111*100)</f>
        <v>NaN</v>
      </c>
      <c r="O241" s="93"/>
      <c r="P241" s="52" t="str">
        <f>IF('Experimental Procedure'!$F$111=0,"NaN",L241/'Experimental Procedure'!$F$111*100)</f>
        <v>NaN</v>
      </c>
      <c r="Q241" s="110"/>
    </row>
    <row r="242" spans="4:17" ht="15.75" thickBot="1" x14ac:dyDescent="0.3">
      <c r="D242" s="74"/>
      <c r="E242" s="10" t="s">
        <v>136</v>
      </c>
      <c r="F242" s="21">
        <v>3.9372980000000002</v>
      </c>
      <c r="G242" s="50">
        <v>9.0382569999999998</v>
      </c>
      <c r="H242" s="88"/>
      <c r="I242" s="91"/>
      <c r="J242" s="21">
        <f>'Zed Mini'!F242-'Experimental Procedure'!$C$112</f>
        <v>-6.2701999999999813E-2</v>
      </c>
      <c r="K242" s="88"/>
      <c r="L242" s="50">
        <f>IF('Zed Mini'!G242-'Experimental Procedure'!$D$112&lt;-180,'Zed Mini'!G242-'Experimental Procedure'!$D$112 + 360,IF('Zed Mini'!G242-'Experimental Procedure'!$D$112&gt;180,'Zed Mini'!G242-'Experimental Procedure'!$D$112 - 360,'Zed Mini'!G242-'Experimental Procedure'!$D$112))</f>
        <v>9.0382569999999998</v>
      </c>
      <c r="M242" s="91"/>
      <c r="N242" s="53">
        <f>IF('Experimental Procedure'!$E$112=0,"NaN",J242/'Experimental Procedure'!$E$112*100)</f>
        <v>-1.5675499999999953</v>
      </c>
      <c r="O242" s="94"/>
      <c r="P242" s="53" t="str">
        <f>IF('Experimental Procedure'!$F$112=0,"NaN",L242/'Experimental Procedure'!$F$112*100)</f>
        <v>NaN</v>
      </c>
      <c r="Q242" s="111"/>
    </row>
    <row r="243" spans="4:17" x14ac:dyDescent="0.25">
      <c r="D243" s="72" t="s">
        <v>191</v>
      </c>
      <c r="E243" s="8" t="s">
        <v>134</v>
      </c>
      <c r="F243" s="17">
        <v>5.8701290000000004</v>
      </c>
      <c r="G243" s="48">
        <v>0.4788599</v>
      </c>
      <c r="H243" s="86">
        <f>SQRT((F240-F243)^2+(F241-F244)^2+(F242-F245)^2)</f>
        <v>0.1678407785640901</v>
      </c>
      <c r="I243" s="89">
        <v>88.682529549295268</v>
      </c>
      <c r="J243" s="17">
        <f>'Zed Mini'!F243-'Experimental Procedure'!$C$113</f>
        <v>-0.12987099999999963</v>
      </c>
      <c r="K243" s="86">
        <f t="shared" ref="K243" si="73">SQRT(J243^2+J244^2+J245^2)</f>
        <v>0.28675017783778239</v>
      </c>
      <c r="L243" s="48">
        <f>IF('Zed Mini'!G243-'Experimental Procedure'!$D$113&lt;-180,'Zed Mini'!G243-'Experimental Procedure'!$D$113 + 360,IF('Zed Mini'!G243-'Experimental Procedure'!$D$113&gt;180,'Zed Mini'!G243-'Experimental Procedure'!$D$113 - 360,'Zed Mini'!G243-'Experimental Procedure'!$D$113))</f>
        <v>0.4788599</v>
      </c>
      <c r="M243" s="89">
        <v>7.8001386817147313</v>
      </c>
      <c r="N243" s="51" t="str">
        <f>IF('Experimental Procedure'!$E$113=0,"NaN",J243/'Experimental Procedure'!$E$113*100)</f>
        <v>NaN</v>
      </c>
      <c r="O243" s="92" t="str">
        <f>IF('Experimental Procedure'!$G$113=0,"NaN",'Zed Mini'!K243/'Experimental Procedure'!$G$113*100)</f>
        <v>NaN</v>
      </c>
      <c r="P243" s="51" t="str">
        <f>IF('Experimental Procedure'!$F$113=0,"NaN",L243/'Experimental Procedure'!$F$113*100)</f>
        <v>NaN</v>
      </c>
      <c r="Q243" s="109">
        <f>IF('Experimental Procedure'!$H$113=0,"NaN",'Zed Mini'!M243/'Experimental Procedure'!$H$113*100)</f>
        <v>8.6668207574608118</v>
      </c>
    </row>
    <row r="244" spans="4:17" x14ac:dyDescent="0.25">
      <c r="D244" s="73"/>
      <c r="E244" s="9" t="s">
        <v>135</v>
      </c>
      <c r="F244" s="19">
        <v>1.552395</v>
      </c>
      <c r="G244" s="49">
        <v>270.3777</v>
      </c>
      <c r="H244" s="87"/>
      <c r="I244" s="90"/>
      <c r="J244" s="19">
        <f>'Zed Mini'!F244-'Experimental Procedure'!$C$114</f>
        <v>0.15239500000000006</v>
      </c>
      <c r="K244" s="87"/>
      <c r="L244" s="49">
        <f>IF('Zed Mini'!G244-'Experimental Procedure'!$D$114&lt;-180,'Zed Mini'!G244-'Experimental Procedure'!$D$114 + 360,IF('Zed Mini'!G244-'Experimental Procedure'!$D$114&gt;180,'Zed Mini'!G244-'Experimental Procedure'!$D$114 - 360,'Zed Mini'!G244-'Experimental Procedure'!$D$114))</f>
        <v>0.37770000000000437</v>
      </c>
      <c r="M244" s="90"/>
      <c r="N244" s="52" t="str">
        <f>IF('Experimental Procedure'!$E$114=0,"NaN",J244/'Experimental Procedure'!$E$114*100)</f>
        <v>NaN</v>
      </c>
      <c r="O244" s="93"/>
      <c r="P244" s="52">
        <f>IF('Experimental Procedure'!$F$114=0,"NaN",L244/'Experimental Procedure'!$F$114*100)</f>
        <v>0.41966666666667146</v>
      </c>
      <c r="Q244" s="110"/>
    </row>
    <row r="245" spans="4:17" ht="15.75" thickBot="1" x14ac:dyDescent="0.3">
      <c r="D245" s="74"/>
      <c r="E245" s="10" t="s">
        <v>136</v>
      </c>
      <c r="F245" s="21">
        <v>3.7947320000000002</v>
      </c>
      <c r="G245" s="50">
        <v>7.7778739999999997</v>
      </c>
      <c r="H245" s="88"/>
      <c r="I245" s="91"/>
      <c r="J245" s="21">
        <f>'Zed Mini'!F245-'Experimental Procedure'!$C$115</f>
        <v>-0.20526799999999978</v>
      </c>
      <c r="K245" s="88"/>
      <c r="L245" s="50">
        <f>IF('Zed Mini'!G245-'Experimental Procedure'!$D$115&lt;-180,'Zed Mini'!G245-'Experimental Procedure'!$D$115 + 360,IF('Zed Mini'!G245-'Experimental Procedure'!$D$115&gt;180,'Zed Mini'!G245-'Experimental Procedure'!$D$115 - 360,'Zed Mini'!G245-'Experimental Procedure'!$D$115))</f>
        <v>7.7778739999999997</v>
      </c>
      <c r="M245" s="91"/>
      <c r="N245" s="53" t="str">
        <f>IF('Experimental Procedure'!$E$115=0,"NaN",J245/'Experimental Procedure'!$E$115*100)</f>
        <v>NaN</v>
      </c>
      <c r="O245" s="94"/>
      <c r="P245" s="53" t="str">
        <f>IF('Experimental Procedure'!$F$115=0,"NaN",L245/'Experimental Procedure'!$F$115*100)</f>
        <v>NaN</v>
      </c>
      <c r="Q245" s="111"/>
    </row>
    <row r="246" spans="4:17" x14ac:dyDescent="0.25">
      <c r="D246" s="72" t="s">
        <v>188</v>
      </c>
      <c r="E246" s="8" t="s">
        <v>134</v>
      </c>
      <c r="F246" s="17">
        <v>0.86587670000000005</v>
      </c>
      <c r="G246" s="48">
        <v>3.2502399999999998</v>
      </c>
      <c r="H246" s="86">
        <f>SQRT((F243-F246)^2+(F244-F247)^2+(F245-F248)^2)</f>
        <v>5.0370121105966472</v>
      </c>
      <c r="I246" s="89">
        <v>5.821543899655782</v>
      </c>
      <c r="J246" s="17">
        <f>'Zed Mini'!F246-'Experimental Procedure'!$C$116</f>
        <v>0.86587670000000005</v>
      </c>
      <c r="K246" s="86">
        <f t="shared" ref="K246" si="74">SQRT(J246^2+J247^2+J248^2)</f>
        <v>1.1828352645266755</v>
      </c>
      <c r="L246" s="48">
        <f>IF('Zed Mini'!G246-'Experimental Procedure'!$D$116&lt;-180,'Zed Mini'!G246-'Experimental Procedure'!$D$116 + 360,IF('Zed Mini'!G246-'Experimental Procedure'!$D$116&gt;180,'Zed Mini'!G246-'Experimental Procedure'!$D$116 - 360,'Zed Mini'!G246-'Experimental Procedure'!$D$116))</f>
        <v>3.2502399999999998</v>
      </c>
      <c r="M246" s="89">
        <v>4.4219388981985492</v>
      </c>
      <c r="N246" s="51">
        <f>IF('Experimental Procedure'!$E$116=0,"NaN",J246/'Experimental Procedure'!$E$116*100)</f>
        <v>14.431278333333333</v>
      </c>
      <c r="O246" s="92">
        <f>IF('Experimental Procedure'!$G$116=0,"NaN",'Zed Mini'!K246/'Experimental Procedure'!$G$116*100)</f>
        <v>19.713921075444592</v>
      </c>
      <c r="P246" s="51" t="str">
        <f>IF('Experimental Procedure'!$F$116=0,"NaN",L246/'Experimental Procedure'!$F$116*100)</f>
        <v>NaN</v>
      </c>
      <c r="Q246" s="109" t="str">
        <f>IF('Experimental Procedure'!$H$116=0,"NaN",'Zed Mini'!M246/'Experimental Procedure'!$H$116*100)</f>
        <v>NaN</v>
      </c>
    </row>
    <row r="247" spans="4:17" x14ac:dyDescent="0.25">
      <c r="D247" s="73"/>
      <c r="E247" s="9" t="s">
        <v>135</v>
      </c>
      <c r="F247" s="19">
        <v>2.077026</v>
      </c>
      <c r="G247" s="49">
        <v>269.0043</v>
      </c>
      <c r="H247" s="87"/>
      <c r="I247" s="90"/>
      <c r="J247" s="19">
        <f>'Zed Mini'!F247-'Experimental Procedure'!$C$117</f>
        <v>0.67702600000000013</v>
      </c>
      <c r="K247" s="87"/>
      <c r="L247" s="49">
        <f>IF('Zed Mini'!G247-'Experimental Procedure'!$D$117&lt;-180,'Zed Mini'!G247-'Experimental Procedure'!$D$117 + 360,IF('Zed Mini'!G247-'Experimental Procedure'!$D$117&gt;180,'Zed Mini'!G247-'Experimental Procedure'!$D$117 - 360,'Zed Mini'!G247-'Experimental Procedure'!$D$117))</f>
        <v>-0.99569999999999936</v>
      </c>
      <c r="M247" s="90"/>
      <c r="N247" s="52" t="str">
        <f>IF('Experimental Procedure'!$E$117=0,"NaN",J247/'Experimental Procedure'!$E$117*100)</f>
        <v>NaN</v>
      </c>
      <c r="O247" s="93"/>
      <c r="P247" s="52" t="str">
        <f>IF('Experimental Procedure'!$F$117=0,"NaN",L247/'Experimental Procedure'!$F$117*100)</f>
        <v>NaN</v>
      </c>
      <c r="Q247" s="110"/>
    </row>
    <row r="248" spans="4:17" ht="15.75" thickBot="1" x14ac:dyDescent="0.3">
      <c r="D248" s="74"/>
      <c r="E248" s="10" t="s">
        <v>136</v>
      </c>
      <c r="F248" s="21">
        <v>3.5629729999999999</v>
      </c>
      <c r="G248" s="50">
        <v>2.8004380000000002</v>
      </c>
      <c r="H248" s="88"/>
      <c r="I248" s="91"/>
      <c r="J248" s="21">
        <f>'Zed Mini'!F248-'Experimental Procedure'!$C$118</f>
        <v>-0.43702700000000005</v>
      </c>
      <c r="K248" s="88"/>
      <c r="L248" s="50">
        <f>IF('Zed Mini'!G248-'Experimental Procedure'!$D$118&lt;-180,'Zed Mini'!G248-'Experimental Procedure'!$D$118 + 360,IF('Zed Mini'!G248-'Experimental Procedure'!$D$118&gt;180,'Zed Mini'!G248-'Experimental Procedure'!$D$118 - 360,'Zed Mini'!G248-'Experimental Procedure'!$D$118))</f>
        <v>2.8004380000000002</v>
      </c>
      <c r="M248" s="91"/>
      <c r="N248" s="53" t="str">
        <f>IF('Experimental Procedure'!$E$118=0,"NaN",J248/'Experimental Procedure'!$E$118*100)</f>
        <v>NaN</v>
      </c>
      <c r="O248" s="94"/>
      <c r="P248" s="53" t="str">
        <f>IF('Experimental Procedure'!$F$118=0,"NaN",L248/'Experimental Procedure'!$F$118*100)</f>
        <v>NaN</v>
      </c>
      <c r="Q248" s="111"/>
    </row>
    <row r="249" spans="4:17" x14ac:dyDescent="0.25">
      <c r="D249" s="72" t="s">
        <v>191</v>
      </c>
      <c r="E249" s="8" t="s">
        <v>134</v>
      </c>
      <c r="F249" s="17">
        <v>0.98264269999999998</v>
      </c>
      <c r="G249" s="48">
        <v>4.6766680000000003</v>
      </c>
      <c r="H249" s="86">
        <f>SQRT((F246-F249)^2+(F247-F250)^2+(F248-F251)^2)</f>
        <v>0.15998268676641239</v>
      </c>
      <c r="I249" s="89">
        <v>91.997502399669926</v>
      </c>
      <c r="J249" s="17">
        <f>'Zed Mini'!F249-'Experimental Procedure'!$C$119</f>
        <v>0.98264269999999998</v>
      </c>
      <c r="K249" s="86">
        <f t="shared" ref="K249" si="75">SQRT(J249^2+J250^2+J251^2)</f>
        <v>1.3242820563276128</v>
      </c>
      <c r="L249" s="48">
        <f>IF('Zed Mini'!G249-'Experimental Procedure'!$D$119&lt;-180,'Zed Mini'!G249-'Experimental Procedure'!$D$119 + 360,IF('Zed Mini'!G249-'Experimental Procedure'!$D$119&gt;180,'Zed Mini'!G249-'Experimental Procedure'!$D$119 - 360,'Zed Mini'!G249-'Experimental Procedure'!$D$119))</f>
        <v>4.6766680000000003</v>
      </c>
      <c r="M249" s="89">
        <v>6.7747250065200788</v>
      </c>
      <c r="N249" s="51" t="str">
        <f>IF('Experimental Procedure'!$E$119=0,"NaN",J249/'Experimental Procedure'!$E$119*100)</f>
        <v>NaN</v>
      </c>
      <c r="O249" s="92" t="str">
        <f>IF('Experimental Procedure'!$G$119=0,"NaN",'Zed Mini'!K249/'Experimental Procedure'!$G$119*100)</f>
        <v>NaN</v>
      </c>
      <c r="P249" s="51" t="str">
        <f>IF('Experimental Procedure'!$F$119=0,"NaN",L249/'Experimental Procedure'!$F$119*100)</f>
        <v>NaN</v>
      </c>
      <c r="Q249" s="109">
        <f>IF('Experimental Procedure'!$H$119=0,"NaN",'Zed Mini'!M249/'Experimental Procedure'!$H$119*100)</f>
        <v>7.5274722294667553</v>
      </c>
    </row>
    <row r="250" spans="4:17" x14ac:dyDescent="0.25">
      <c r="D250" s="73"/>
      <c r="E250" s="9" t="s">
        <v>135</v>
      </c>
      <c r="F250" s="19">
        <v>2.1019480000000001</v>
      </c>
      <c r="G250" s="49">
        <v>177.09100000000001</v>
      </c>
      <c r="H250" s="87"/>
      <c r="I250" s="90"/>
      <c r="J250" s="19">
        <f>'Zed Mini'!F250-'Experimental Procedure'!$C$120</f>
        <v>0.70194800000000024</v>
      </c>
      <c r="K250" s="87"/>
      <c r="L250" s="49">
        <f>IF('Zed Mini'!G250-'Experimental Procedure'!$D$120&lt;-180,'Zed Mini'!G250-'Experimental Procedure'!$D$120 + 360,IF('Zed Mini'!G250-'Experimental Procedure'!$D$120&gt;180,'Zed Mini'!G250-'Experimental Procedure'!$D$120 - 360,'Zed Mini'!G250-'Experimental Procedure'!$D$120))</f>
        <v>-2.9089999999999918</v>
      </c>
      <c r="M250" s="90"/>
      <c r="N250" s="52" t="str">
        <f>IF('Experimental Procedure'!$E$120=0,"NaN",J250/'Experimental Procedure'!$E$120*100)</f>
        <v>NaN</v>
      </c>
      <c r="O250" s="93"/>
      <c r="P250" s="52">
        <f>IF('Experimental Procedure'!$F$120=0,"NaN",L250/'Experimental Procedure'!$F$120*100)</f>
        <v>-3.2322222222222132</v>
      </c>
      <c r="Q250" s="110"/>
    </row>
    <row r="251" spans="4:17" ht="15.75" thickBot="1" x14ac:dyDescent="0.3">
      <c r="D251" s="74"/>
      <c r="E251" s="10" t="s">
        <v>136</v>
      </c>
      <c r="F251" s="21">
        <v>3.4564879999999998</v>
      </c>
      <c r="G251" s="50">
        <v>3.8301370000000001</v>
      </c>
      <c r="H251" s="88"/>
      <c r="I251" s="91"/>
      <c r="J251" s="21">
        <f>'Zed Mini'!F251-'Experimental Procedure'!$C$121</f>
        <v>-0.54351200000000022</v>
      </c>
      <c r="K251" s="88"/>
      <c r="L251" s="50">
        <f>IF('Zed Mini'!G251-'Experimental Procedure'!$D$121&lt;-180,'Zed Mini'!G251-'Experimental Procedure'!$D$121 + 360,IF('Zed Mini'!G251-'Experimental Procedure'!$D$121&gt;180,'Zed Mini'!G251-'Experimental Procedure'!$D$121 - 360,'Zed Mini'!G251-'Experimental Procedure'!$D$121))</f>
        <v>3.8301370000000001</v>
      </c>
      <c r="M251" s="91"/>
      <c r="N251" s="53" t="str">
        <f>IF('Experimental Procedure'!$E$121=0,"NaN",J251/'Experimental Procedure'!$E$121*100)</f>
        <v>NaN</v>
      </c>
      <c r="O251" s="94"/>
      <c r="P251" s="53" t="str">
        <f>IF('Experimental Procedure'!$F$121=0,"NaN",L251/'Experimental Procedure'!$F$121*100)</f>
        <v>NaN</v>
      </c>
      <c r="Q251" s="111"/>
    </row>
    <row r="252" spans="4:17" x14ac:dyDescent="0.25">
      <c r="D252" s="72" t="s">
        <v>190</v>
      </c>
      <c r="E252" s="8" t="s">
        <v>134</v>
      </c>
      <c r="F252" s="17">
        <v>0.9748116</v>
      </c>
      <c r="G252" s="48">
        <v>3.5810059999999999</v>
      </c>
      <c r="H252" s="86">
        <f>SQRT((F249-F252)^2+(F250-F253)^2+(F251-F254)^2)</f>
        <v>2.4130729775129494</v>
      </c>
      <c r="I252" s="89">
        <v>6.5577815051672745</v>
      </c>
      <c r="J252" s="17">
        <f>'Zed Mini'!F252-'Experimental Procedure'!$C$122</f>
        <v>0.9748116</v>
      </c>
      <c r="K252" s="86">
        <f t="shared" ref="K252" si="76">SQRT(J252^2+J253^2+J254^2)</f>
        <v>1.5026016547982901</v>
      </c>
      <c r="L252" s="48">
        <f>IF('Zed Mini'!G252-'Experimental Procedure'!$D$122&lt;-180,'Zed Mini'!G252-'Experimental Procedure'!$D$122 + 360,IF('Zed Mini'!G252-'Experimental Procedure'!$D$122&gt;180,'Zed Mini'!G252-'Experimental Procedure'!$D$122 - 360,'Zed Mini'!G252-'Experimental Procedure'!$D$122))</f>
        <v>3.5810059999999999</v>
      </c>
      <c r="M252" s="89">
        <v>6.4376498262690474</v>
      </c>
      <c r="N252" s="51" t="str">
        <f>IF('Experimental Procedure'!$E$122=0,"NaN",J252/'Experimental Procedure'!$E$122*100)</f>
        <v>NaN</v>
      </c>
      <c r="O252" s="92">
        <f>IF('Experimental Procedure'!$G$122=0,"NaN",'Zed Mini'!K252/'Experimental Procedure'!$G$122*100)</f>
        <v>37.56504136995725</v>
      </c>
      <c r="P252" s="51" t="str">
        <f>IF('Experimental Procedure'!$F$122=0,"NaN",L252/'Experimental Procedure'!$F$122*100)</f>
        <v>NaN</v>
      </c>
      <c r="Q252" s="109" t="str">
        <f>IF('Experimental Procedure'!$H$122=0,"NaN",'Zed Mini'!M252/'Experimental Procedure'!$H$122*100)</f>
        <v>NaN</v>
      </c>
    </row>
    <row r="253" spans="4:17" x14ac:dyDescent="0.25">
      <c r="D253" s="73"/>
      <c r="E253" s="9" t="s">
        <v>135</v>
      </c>
      <c r="F253" s="19">
        <v>1.8325579999999999</v>
      </c>
      <c r="G253" s="49">
        <v>183.57050000000001</v>
      </c>
      <c r="H253" s="87"/>
      <c r="I253" s="90"/>
      <c r="J253" s="19">
        <f>'Zed Mini'!F253-'Experimental Procedure'!$C$123</f>
        <v>0.432558</v>
      </c>
      <c r="K253" s="87"/>
      <c r="L253" s="49">
        <f>IF('Zed Mini'!G253-'Experimental Procedure'!$D$123&lt;-180,'Zed Mini'!G253-'Experimental Procedure'!$D$123 + 360,IF('Zed Mini'!G253-'Experimental Procedure'!$D$123&gt;180,'Zed Mini'!G253-'Experimental Procedure'!$D$123 - 360,'Zed Mini'!G253-'Experimental Procedure'!$D$123))</f>
        <v>3.5705000000000098</v>
      </c>
      <c r="M253" s="90"/>
      <c r="N253" s="52" t="str">
        <f>IF('Experimental Procedure'!$E$123=0,"NaN",J253/'Experimental Procedure'!$E$123*100)</f>
        <v>NaN</v>
      </c>
      <c r="O253" s="93"/>
      <c r="P253" s="52" t="str">
        <f>IF('Experimental Procedure'!$F$123=0,"NaN",L253/'Experimental Procedure'!$F$123*100)</f>
        <v>NaN</v>
      </c>
      <c r="Q253" s="110"/>
    </row>
    <row r="254" spans="4:17" ht="15.75" thickBot="1" x14ac:dyDescent="0.3">
      <c r="D254" s="74"/>
      <c r="E254" s="10" t="s">
        <v>136</v>
      </c>
      <c r="F254" s="21">
        <v>1.0585119999999999</v>
      </c>
      <c r="G254" s="50">
        <v>4.0989040000000001</v>
      </c>
      <c r="H254" s="88"/>
      <c r="I254" s="91"/>
      <c r="J254" s="21">
        <f>'Zed Mini'!F254-'Experimental Procedure'!$C$124</f>
        <v>1.0585119999999999</v>
      </c>
      <c r="K254" s="88"/>
      <c r="L254" s="50">
        <f>IF('Zed Mini'!G254-'Experimental Procedure'!$D$124&lt;-180,'Zed Mini'!G254-'Experimental Procedure'!$D$124 + 360,IF('Zed Mini'!G254-'Experimental Procedure'!$D$124&gt;180,'Zed Mini'!G254-'Experimental Procedure'!$D$124 - 360,'Zed Mini'!G254-'Experimental Procedure'!$D$124))</f>
        <v>4.0989040000000001</v>
      </c>
      <c r="M254" s="91"/>
      <c r="N254" s="53">
        <f>IF('Experimental Procedure'!$E$124=0,"NaN",J254/'Experimental Procedure'!$E$124*100)</f>
        <v>26.462799999999998</v>
      </c>
      <c r="O254" s="94"/>
      <c r="P254" s="53" t="str">
        <f>IF('Experimental Procedure'!$F$124=0,"NaN",L254/'Experimental Procedure'!$F$124*100)</f>
        <v>NaN</v>
      </c>
      <c r="Q254" s="111"/>
    </row>
    <row r="255" spans="4:17" x14ac:dyDescent="0.25">
      <c r="D255" s="72" t="s">
        <v>191</v>
      </c>
      <c r="E255" s="8" t="s">
        <v>134</v>
      </c>
      <c r="F255" s="17">
        <v>1.025193</v>
      </c>
      <c r="G255" s="48">
        <v>1.7765869999999999</v>
      </c>
      <c r="H255" s="86">
        <f>SQRT((F252-F255)^2+(F253-F256)^2+(F254-F257)^2)</f>
        <v>9.0082377693753241E-2</v>
      </c>
      <c r="I255" s="89">
        <v>94.026363376241136</v>
      </c>
      <c r="J255" s="17">
        <f>'Zed Mini'!F255-'Experimental Procedure'!$C$125</f>
        <v>1.025193</v>
      </c>
      <c r="K255" s="86">
        <f t="shared" ref="K255" si="77">SQRT(J255^2+J256^2+J257^2)</f>
        <v>1.5892305219501668</v>
      </c>
      <c r="L255" s="48">
        <f>IF('Zed Mini'!G255-'Experimental Procedure'!$D$125&lt;-180,'Zed Mini'!G255-'Experimental Procedure'!$D$125 + 360,IF('Zed Mini'!G255-'Experimental Procedure'!$D$125&gt;180,'Zed Mini'!G255-'Experimental Procedure'!$D$125 - 360,'Zed Mini'!G255-'Experimental Procedure'!$D$125))</f>
        <v>1.7765869999999999</v>
      </c>
      <c r="M255" s="89">
        <v>3.8640370312155388</v>
      </c>
      <c r="N255" s="51" t="str">
        <f>IF('Experimental Procedure'!$E$125=0,"NaN",J255/'Experimental Procedure'!$E$125*100)</f>
        <v>NaN</v>
      </c>
      <c r="O255" s="92" t="str">
        <f>IF('Experimental Procedure'!$G$125=0,"NaN",'Zed Mini'!K255/'Experimental Procedure'!$G$125*100)</f>
        <v>NaN</v>
      </c>
      <c r="P255" s="51" t="str">
        <f>IF('Experimental Procedure'!$F$125=0,"NaN",L255/'Experimental Procedure'!$F$125*100)</f>
        <v>NaN</v>
      </c>
      <c r="Q255" s="109">
        <f>IF('Experimental Procedure'!$H$125=0,"NaN",'Zed Mini'!M255/'Experimental Procedure'!$H$125*100)</f>
        <v>4.2933744791283761</v>
      </c>
    </row>
    <row r="256" spans="4:17" x14ac:dyDescent="0.25">
      <c r="D256" s="73"/>
      <c r="E256" s="9" t="s">
        <v>135</v>
      </c>
      <c r="F256" s="19">
        <v>1.836795</v>
      </c>
      <c r="G256" s="49">
        <v>89.526340000000005</v>
      </c>
      <c r="H256" s="87"/>
      <c r="I256" s="90"/>
      <c r="J256" s="19">
        <f>'Zed Mini'!F256-'Experimental Procedure'!$C$126</f>
        <v>0.43679500000000004</v>
      </c>
      <c r="K256" s="87"/>
      <c r="L256" s="49">
        <f>IF('Zed Mini'!G256-'Experimental Procedure'!$D$126&lt;-180,'Zed Mini'!G256-'Experimental Procedure'!$D$126 + 360,IF('Zed Mini'!G256-'Experimental Procedure'!$D$126&gt;180,'Zed Mini'!G256-'Experimental Procedure'!$D$126 - 360,'Zed Mini'!G256-'Experimental Procedure'!$D$126))</f>
        <v>-0.47365999999999531</v>
      </c>
      <c r="M256" s="90"/>
      <c r="N256" s="52" t="str">
        <f>IF('Experimental Procedure'!$E$126=0,"NaN",J256/'Experimental Procedure'!$E$126*100)</f>
        <v>NaN</v>
      </c>
      <c r="O256" s="93"/>
      <c r="P256" s="52">
        <f>IF('Experimental Procedure'!$F$126=0,"NaN",L256/'Experimental Procedure'!$F$126*100)</f>
        <v>-0.5262888888888837</v>
      </c>
      <c r="Q256" s="110"/>
    </row>
    <row r="257" spans="4:17" ht="15.75" thickBot="1" x14ac:dyDescent="0.3">
      <c r="D257" s="74"/>
      <c r="E257" s="10" t="s">
        <v>136</v>
      </c>
      <c r="F257" s="21">
        <v>1.133068</v>
      </c>
      <c r="G257" s="50">
        <v>3.3913660000000001</v>
      </c>
      <c r="H257" s="88"/>
      <c r="I257" s="91"/>
      <c r="J257" s="21">
        <f>'Zed Mini'!F257-'Experimental Procedure'!$C$127</f>
        <v>1.133068</v>
      </c>
      <c r="K257" s="88"/>
      <c r="L257" s="50">
        <f>IF('Zed Mini'!G257-'Experimental Procedure'!$D$127&lt;-180,'Zed Mini'!G257-'Experimental Procedure'!$D$127 + 360,IF('Zed Mini'!G257-'Experimental Procedure'!$D$127&gt;180,'Zed Mini'!G257-'Experimental Procedure'!$D$127 - 360,'Zed Mini'!G257-'Experimental Procedure'!$D$127))</f>
        <v>3.3913660000000001</v>
      </c>
      <c r="M257" s="91"/>
      <c r="N257" s="53" t="str">
        <f>IF('Experimental Procedure'!$E$127=0,"NaN",J257/'Experimental Procedure'!$E$127*100)</f>
        <v>NaN</v>
      </c>
      <c r="O257" s="94"/>
      <c r="P257" s="53" t="str">
        <f>IF('Experimental Procedure'!$F$127=0,"NaN",L257/'Experimental Procedure'!$F$127*100)</f>
        <v>NaN</v>
      </c>
      <c r="Q257" s="111"/>
    </row>
    <row r="258" spans="4:17" x14ac:dyDescent="0.25">
      <c r="D258" s="72" t="s">
        <v>180</v>
      </c>
      <c r="E258" s="8" t="s">
        <v>134</v>
      </c>
      <c r="F258" s="17">
        <v>6.7687109999999997</v>
      </c>
      <c r="G258" s="48">
        <v>358.5872</v>
      </c>
      <c r="H258" s="86">
        <f>SQRT((F255-F258)^2+(F256-F259)^2+(F257-F260)^2)</f>
        <v>5.8034713160372586</v>
      </c>
      <c r="I258" s="89">
        <v>4.9431634847889594</v>
      </c>
      <c r="J258" s="17">
        <f>'Zed Mini'!F258-'Experimental Procedure'!$C$128</f>
        <v>0.7687109999999997</v>
      </c>
      <c r="K258" s="86">
        <f t="shared" ref="K258" si="78">SQRT(J258^2+J259^2+J260^2)</f>
        <v>1.7347331781828697</v>
      </c>
      <c r="L258" s="48">
        <f>IF('Zed Mini'!G258-'Experimental Procedure'!$D$128&lt;-180,'Zed Mini'!G258-'Experimental Procedure'!$D$128 + 360,IF('Zed Mini'!G258-'Experimental Procedure'!$D$128&gt;180,'Zed Mini'!G258-'Experimental Procedure'!$D$128 - 360,'Zed Mini'!G258-'Experimental Procedure'!$D$128))</f>
        <v>-1.4128000000000043</v>
      </c>
      <c r="M258" s="89">
        <v>5.6521659433008313</v>
      </c>
      <c r="N258" s="51">
        <f>IF('Experimental Procedure'!$E$128=0,"NaN",J258/'Experimental Procedure'!$E$128*100)</f>
        <v>12.811849999999994</v>
      </c>
      <c r="O258" s="92">
        <f>IF('Experimental Procedure'!$G$128=0,"NaN",'Zed Mini'!K258/'Experimental Procedure'!$G$128*100)</f>
        <v>28.91221963638116</v>
      </c>
      <c r="P258" s="51" t="str">
        <f>IF('Experimental Procedure'!$F$128=0,"NaN",L258/'Experimental Procedure'!$F$128*100)</f>
        <v>NaN</v>
      </c>
      <c r="Q258" s="109" t="str">
        <f>IF('Experimental Procedure'!$H$128=0,"NaN",'Zed Mini'!M258/'Experimental Procedure'!$H$128*100)</f>
        <v>NaN</v>
      </c>
    </row>
    <row r="259" spans="4:17" x14ac:dyDescent="0.25">
      <c r="D259" s="73"/>
      <c r="E259" s="9" t="s">
        <v>135</v>
      </c>
      <c r="F259" s="19">
        <v>2.6443490000000001</v>
      </c>
      <c r="G259" s="49">
        <v>93.161389999999997</v>
      </c>
      <c r="H259" s="87"/>
      <c r="I259" s="90"/>
      <c r="J259" s="19">
        <f>'Zed Mini'!F259-'Experimental Procedure'!$C$129</f>
        <v>1.2443490000000001</v>
      </c>
      <c r="K259" s="87"/>
      <c r="L259" s="49">
        <f>IF('Zed Mini'!G259-'Experimental Procedure'!$D$129&lt;-180,'Zed Mini'!G259-'Experimental Procedure'!$D$129 + 360,IF('Zed Mini'!G259-'Experimental Procedure'!$D$129&gt;180,'Zed Mini'!G259-'Experimental Procedure'!$D$129 - 360,'Zed Mini'!G259-'Experimental Procedure'!$D$129))</f>
        <v>3.1613899999999973</v>
      </c>
      <c r="M259" s="90"/>
      <c r="N259" s="52" t="str">
        <f>IF('Experimental Procedure'!$E$129=0,"NaN",J259/'Experimental Procedure'!$E$129*100)</f>
        <v>NaN</v>
      </c>
      <c r="O259" s="93"/>
      <c r="P259" s="52" t="str">
        <f>IF('Experimental Procedure'!$F$129=0,"NaN",L259/'Experimental Procedure'!$F$129*100)</f>
        <v>NaN</v>
      </c>
      <c r="Q259" s="110"/>
    </row>
    <row r="260" spans="4:17" ht="15.75" thickBot="1" x14ac:dyDescent="0.3">
      <c r="D260" s="74"/>
      <c r="E260" s="10" t="s">
        <v>136</v>
      </c>
      <c r="F260" s="21">
        <v>0.93272619999999995</v>
      </c>
      <c r="G260" s="50">
        <v>4.4291980000000004</v>
      </c>
      <c r="H260" s="88"/>
      <c r="I260" s="91"/>
      <c r="J260" s="21">
        <f>'Zed Mini'!F260-'Experimental Procedure'!$C$130</f>
        <v>0.93272619999999995</v>
      </c>
      <c r="K260" s="88"/>
      <c r="L260" s="50">
        <f>IF('Zed Mini'!G260-'Experimental Procedure'!$D$130&lt;-180,'Zed Mini'!G260-'Experimental Procedure'!$D$130 + 360,IF('Zed Mini'!G260-'Experimental Procedure'!$D$130&gt;180,'Zed Mini'!G260-'Experimental Procedure'!$D$130 - 360,'Zed Mini'!G260-'Experimental Procedure'!$D$130))</f>
        <v>4.4291980000000004</v>
      </c>
      <c r="M260" s="91"/>
      <c r="N260" s="53" t="str">
        <f>IF('Experimental Procedure'!$E$130=0,"NaN",J260/'Experimental Procedure'!$E$130*100)</f>
        <v>NaN</v>
      </c>
      <c r="O260" s="94"/>
      <c r="P260" s="53" t="str">
        <f>IF('Experimental Procedure'!$F$130=0,"NaN",L260/'Experimental Procedure'!$F$130*100)</f>
        <v>NaN</v>
      </c>
      <c r="Q260" s="111"/>
    </row>
    <row r="261" spans="4:17" x14ac:dyDescent="0.25">
      <c r="D261" s="83" t="s">
        <v>192</v>
      </c>
      <c r="E261" s="8" t="s">
        <v>134</v>
      </c>
      <c r="F261" s="17">
        <v>6.0837890000000003</v>
      </c>
      <c r="G261" s="48">
        <v>358.15600000000001</v>
      </c>
      <c r="H261" s="86">
        <f>SQRT((F258-F261)^2+(F259-F262)^2+(F260-F263)^2)</f>
        <v>1.6631928346775007</v>
      </c>
      <c r="I261" s="89">
        <v>93.237660519995472</v>
      </c>
      <c r="J261" s="17">
        <f>'Zed Mini'!F261-'Experimental Procedure'!$C$131</f>
        <v>8.3789000000000335E-2</v>
      </c>
      <c r="K261" s="86">
        <f t="shared" ref="K261" si="79">SQRT(J261^2+J262^2+J263^2)</f>
        <v>9.263261697290516E-2</v>
      </c>
      <c r="L261" s="48">
        <f>IF('Zed Mini'!G261-'Experimental Procedure'!$D$131&lt;-180,'Zed Mini'!G261-'Experimental Procedure'!$D$131 + 360,IF('Zed Mini'!G261-'Experimental Procedure'!$D$131&gt;180,'Zed Mini'!G261-'Experimental Procedure'!$D$131 - 360,'Zed Mini'!G261-'Experimental Procedure'!$D$131))</f>
        <v>-1.8439999999999941</v>
      </c>
      <c r="M261" s="89">
        <v>7.9339731831251434</v>
      </c>
      <c r="N261" s="51" t="str">
        <f>IF('Experimental Procedure'!$E$131=0,"NaN",J261/'Experimental Procedure'!$E$131*100)</f>
        <v>NaN</v>
      </c>
      <c r="O261" s="92" t="str">
        <f>IF('Experimental Procedure'!$G$131=0,"NaN",'Zed Mini'!K261/'Experimental Procedure'!$G$131*100)</f>
        <v>NaN</v>
      </c>
      <c r="P261" s="51" t="str">
        <f>IF('Experimental Procedure'!$F$131=0,"NaN",L261/'Experimental Procedure'!$F$131*100)</f>
        <v>NaN</v>
      </c>
      <c r="Q261" s="109">
        <f>IF('Experimental Procedure'!$H$131=0,"NaN",'Zed Mini'!M261/'Experimental Procedure'!$H$131*100)</f>
        <v>8.8155257590279383</v>
      </c>
    </row>
    <row r="262" spans="4:17" x14ac:dyDescent="0.25">
      <c r="D262" s="84"/>
      <c r="E262" s="9" t="s">
        <v>135</v>
      </c>
      <c r="F262" s="19">
        <v>1.4317329999999999</v>
      </c>
      <c r="G262" s="49">
        <v>359.87560000000002</v>
      </c>
      <c r="H262" s="87"/>
      <c r="I262" s="90"/>
      <c r="J262" s="19">
        <f>'Zed Mini'!F262-'Experimental Procedure'!$C$132</f>
        <v>3.1733000000000011E-2</v>
      </c>
      <c r="K262" s="87"/>
      <c r="L262" s="49">
        <f>IF('Zed Mini'!G262-'Experimental Procedure'!$D$132&lt;-180,'Zed Mini'!G262-'Experimental Procedure'!$D$132 + 360,IF('Zed Mini'!G262-'Experimental Procedure'!$D$132&gt;180,'Zed Mini'!G262-'Experimental Procedure'!$D$132 - 360,'Zed Mini'!G262-'Experimental Procedure'!$D$132))</f>
        <v>-0.12439999999998008</v>
      </c>
      <c r="M262" s="90"/>
      <c r="N262" s="52" t="str">
        <f>IF('Experimental Procedure'!$E$132=0,"NaN",J262/'Experimental Procedure'!$E$132*100)</f>
        <v>NaN</v>
      </c>
      <c r="O262" s="93"/>
      <c r="P262" s="52">
        <f>IF('Experimental Procedure'!$F$132=0,"NaN",L262/'Experimental Procedure'!$F$132*100)</f>
        <v>-0.1382222222222001</v>
      </c>
      <c r="Q262" s="110"/>
    </row>
    <row r="263" spans="4:17" ht="15.75" thickBot="1" x14ac:dyDescent="0.3">
      <c r="D263" s="85"/>
      <c r="E263" s="10" t="s">
        <v>136</v>
      </c>
      <c r="F263" s="21">
        <v>2.352067E-2</v>
      </c>
      <c r="G263" s="50">
        <v>7.7180429999999998</v>
      </c>
      <c r="H263" s="88"/>
      <c r="I263" s="91"/>
      <c r="J263" s="21">
        <f>'Zed Mini'!F263-'Experimental Procedure'!$C$133</f>
        <v>2.352067E-2</v>
      </c>
      <c r="K263" s="88"/>
      <c r="L263" s="50">
        <f>IF('Zed Mini'!G263-'Experimental Procedure'!$D$133&lt;-180,'Zed Mini'!G263-'Experimental Procedure'!$D$133 + 360,IF('Zed Mini'!G263-'Experimental Procedure'!$D$133&gt;180,'Zed Mini'!G263-'Experimental Procedure'!$D$133 - 360,'Zed Mini'!G263-'Experimental Procedure'!$D$133))</f>
        <v>7.7180429999999998</v>
      </c>
      <c r="M263" s="91"/>
      <c r="N263" s="53" t="str">
        <f>IF('Experimental Procedure'!$E$133=0,"NaN",J263/'Experimental Procedure'!$E$133*100)</f>
        <v>NaN</v>
      </c>
      <c r="O263" s="94"/>
      <c r="P263" s="53" t="str">
        <f>IF('Experimental Procedure'!$F$133=0,"NaN",L263/'Experimental Procedure'!$F$133*100)</f>
        <v>NaN</v>
      </c>
      <c r="Q263" s="111"/>
    </row>
    <row r="264" spans="4:17" ht="15.75" thickBot="1" x14ac:dyDescent="0.3">
      <c r="D264" s="15" t="s">
        <v>173</v>
      </c>
      <c r="E264" s="29"/>
      <c r="F264" s="29"/>
    </row>
    <row r="265" spans="4:17" ht="15.75" thickBot="1" x14ac:dyDescent="0.3">
      <c r="D265" s="75" t="s">
        <v>177</v>
      </c>
      <c r="E265" s="76"/>
      <c r="F265" s="16" t="s">
        <v>137</v>
      </c>
      <c r="G265" s="23" t="s">
        <v>197</v>
      </c>
      <c r="H265" s="16" t="s">
        <v>178</v>
      </c>
      <c r="I265" s="16" t="s">
        <v>179</v>
      </c>
      <c r="J265" s="16" t="s">
        <v>143</v>
      </c>
      <c r="K265" s="34" t="s">
        <v>168</v>
      </c>
      <c r="L265" s="23" t="s">
        <v>144</v>
      </c>
      <c r="M265" s="12" t="s">
        <v>167</v>
      </c>
      <c r="N265" s="16" t="s">
        <v>141</v>
      </c>
      <c r="O265" s="16" t="s">
        <v>171</v>
      </c>
      <c r="P265" s="23" t="s">
        <v>142</v>
      </c>
      <c r="Q265" s="23" t="s">
        <v>172</v>
      </c>
    </row>
    <row r="266" spans="4:17" x14ac:dyDescent="0.25">
      <c r="D266" s="72" t="s">
        <v>180</v>
      </c>
      <c r="E266" s="35" t="s">
        <v>134</v>
      </c>
      <c r="F266" s="18">
        <f>AVERAGE(F107,F160,F213)</f>
        <v>6.0006396666666673</v>
      </c>
      <c r="G266" s="48">
        <f>AVERAGE(IF(G107&gt;180,G107-360,IF(G107&lt;-180,G107+360,G107)),IF(G160&gt;180,G160-360,IF(G160&lt;-180,G160+360,G160)),IF(G213&gt;180,G213-360,IF(G213&lt;-180,G213+360,G213)))</f>
        <v>1.7338601999999932</v>
      </c>
      <c r="H266" s="101">
        <v>0</v>
      </c>
      <c r="I266" s="89">
        <f>(I107+I160+I213)/3</f>
        <v>0</v>
      </c>
      <c r="J266" s="17">
        <f>'Zed Mini'!F266-'Experimental Procedure'!$C$107</f>
        <v>6.3966666666726013E-4</v>
      </c>
      <c r="K266" s="95">
        <f>SQRT(J266^2+J267^2+J268^2)</f>
        <v>8.0599463390871994E-3</v>
      </c>
      <c r="L266" s="48">
        <f>IF('Zed Mini'!G266-'Experimental Procedure'!$D$107&lt;-180,'Zed Mini'!G266-'Experimental Procedure'!$D$107 + 360,IF('Zed Mini'!G266-'Experimental Procedure'!$D$107&gt;180,'Zed Mini'!G266-'Experimental Procedure'!$D$107 - 360,'Zed Mini'!G266-'Experimental Procedure'!$D$107))</f>
        <v>1.7338601999999932</v>
      </c>
      <c r="M266" s="106">
        <f>(M107+M160+M213)/3</f>
        <v>4.8125542240914028</v>
      </c>
      <c r="N266" s="51" t="str">
        <f>IF('Experimental Procedure'!$E$107=0,"NaN",J266/'Experimental Procedure'!$E$107*100)</f>
        <v>NaN</v>
      </c>
      <c r="O266" s="92" t="str">
        <f>IF('Experimental Procedure'!$G$107=0,"NaN",'Zed Mini'!K266/'Experimental Procedure'!$G$107*100)</f>
        <v>NaN</v>
      </c>
      <c r="P266" s="51" t="str">
        <f>IF('Experimental Procedure'!$F$107=0,"NaN",L266/'Experimental Procedure'!$F$107*100)</f>
        <v>NaN</v>
      </c>
      <c r="Q266" s="109" t="str">
        <f>IF('Experimental Procedure'!$H$107=0,"NaN",'Zed Mini'!M266/'Experimental Procedure'!$H$107*100)</f>
        <v>NaN</v>
      </c>
    </row>
    <row r="267" spans="4:17" x14ac:dyDescent="0.25">
      <c r="D267" s="73"/>
      <c r="E267" s="35" t="s">
        <v>135</v>
      </c>
      <c r="F267" s="20">
        <f t="shared" ref="F267:F316" si="80">AVERAGE(F108,F161,F214)</f>
        <v>1.4006976666666668</v>
      </c>
      <c r="G267" s="49">
        <f t="shared" ref="G267:G316" si="81">AVERAGE(IF(G108&gt;180,G108-360,IF(G108&lt;-180,G108+360,G108)),IF(G161&gt;180,G161-360,IF(G161&lt;-180,G161+360,G161)),IF(G214&gt;180,G214-360,IF(G214&lt;-180,G214+360,G214)))</f>
        <v>0.85949833333333336</v>
      </c>
      <c r="H267" s="102"/>
      <c r="I267" s="90"/>
      <c r="J267" s="19">
        <f>'Zed Mini'!F267-'Experimental Procedure'!$C$108</f>
        <v>6.9766666666692956E-4</v>
      </c>
      <c r="K267" s="96"/>
      <c r="L267" s="49">
        <f>IF('Zed Mini'!G267-'Experimental Procedure'!$D$108&lt;-180,'Zed Mini'!G267-'Experimental Procedure'!$D$108 + 360,IF('Zed Mini'!G267-'Experimental Procedure'!$D$108&gt;180,'Zed Mini'!G267-'Experimental Procedure'!$D$108 - 360,'Zed Mini'!G267-'Experimental Procedure'!$D$108))</f>
        <v>0.85949833333333336</v>
      </c>
      <c r="M267" s="107"/>
      <c r="N267" s="52" t="str">
        <f>IF('Experimental Procedure'!$E$108=0,"NaN",J267/'Experimental Procedure'!$E$108*100)</f>
        <v>NaN</v>
      </c>
      <c r="O267" s="93"/>
      <c r="P267" s="52" t="str">
        <f>IF('Experimental Procedure'!$F$108=0,"NaN",L267/'Experimental Procedure'!$F$108*100)</f>
        <v>NaN</v>
      </c>
      <c r="Q267" s="110"/>
    </row>
    <row r="268" spans="4:17" ht="15.75" thickBot="1" x14ac:dyDescent="0.3">
      <c r="D268" s="74"/>
      <c r="E268" s="36" t="s">
        <v>136</v>
      </c>
      <c r="F268" s="22">
        <f t="shared" si="80"/>
        <v>-8.0041753333333337E-3</v>
      </c>
      <c r="G268" s="50">
        <f t="shared" si="81"/>
        <v>3.5730413333333337</v>
      </c>
      <c r="H268" s="103"/>
      <c r="I268" s="91"/>
      <c r="J268" s="21">
        <f>'Zed Mini'!F268-'Experimental Procedure'!$C$109</f>
        <v>-8.0041753333333337E-3</v>
      </c>
      <c r="K268" s="97"/>
      <c r="L268" s="50">
        <f>IF('Zed Mini'!G268-'Experimental Procedure'!$D$109&lt;-180,'Zed Mini'!G268-'Experimental Procedure'!$D$109 + 360,IF('Zed Mini'!G268-'Experimental Procedure'!$D$109&gt;180,'Zed Mini'!G268-'Experimental Procedure'!$D$109 - 360,'Zed Mini'!G268-'Experimental Procedure'!$D$109))</f>
        <v>3.5730413333333337</v>
      </c>
      <c r="M268" s="108"/>
      <c r="N268" s="53" t="str">
        <f>IF('Experimental Procedure'!$E$109=0,"NaN",J268/'Experimental Procedure'!$E$109*100)</f>
        <v>NaN</v>
      </c>
      <c r="O268" s="94"/>
      <c r="P268" s="53" t="str">
        <f>IF('Experimental Procedure'!$F$109=0,"NaN",L268/'Experimental Procedure'!$F$109*100)</f>
        <v>NaN</v>
      </c>
      <c r="Q268" s="111"/>
    </row>
    <row r="269" spans="4:17" x14ac:dyDescent="0.25">
      <c r="D269" s="72" t="s">
        <v>189</v>
      </c>
      <c r="E269" s="8" t="s">
        <v>134</v>
      </c>
      <c r="F269" s="17">
        <f t="shared" si="80"/>
        <v>5.995433666666667</v>
      </c>
      <c r="G269" s="48">
        <f t="shared" si="81"/>
        <v>-2.0992028666666758</v>
      </c>
      <c r="H269" s="86">
        <f>SQRT((F266-F269)^2+(F267-F270)^2+(F268-F271)^2)</f>
        <v>3.9790830343701828</v>
      </c>
      <c r="I269" s="89">
        <f t="shared" ref="I269" si="82">(I110+I163+I216)/3</f>
        <v>5.6624130075548216</v>
      </c>
      <c r="J269" s="17">
        <f>'Zed Mini'!F269-'Experimental Procedure'!$C$110</f>
        <v>-4.5663333333330058E-3</v>
      </c>
      <c r="K269" s="86">
        <f t="shared" ref="K269" si="83">SQRT(J269^2+J270^2+J271^2)</f>
        <v>0.13222474777018434</v>
      </c>
      <c r="L269" s="48">
        <f>IF('Zed Mini'!G269-'Experimental Procedure'!$D$110&lt;-180,'Zed Mini'!G269-'Experimental Procedure'!$D$110 + 360,IF('Zed Mini'!G269-'Experimental Procedure'!$D$110&gt;180,'Zed Mini'!G269-'Experimental Procedure'!$D$110 - 360,'Zed Mini'!G269-'Experimental Procedure'!$D$110))</f>
        <v>-2.0992028666666758</v>
      </c>
      <c r="M269" s="106">
        <f t="shared" ref="M269" si="84">(M110+M163+M216)/3</f>
        <v>7.921949735074155</v>
      </c>
      <c r="N269" s="51" t="str">
        <f>IF('Experimental Procedure'!$E$110=0,"NaN",J269/'Experimental Procedure'!$E$110*100)</f>
        <v>NaN</v>
      </c>
      <c r="O269" s="92">
        <f>IF('Experimental Procedure'!$G$110=0,"NaN",'Zed Mini'!K269/'Experimental Procedure'!$G$110*100)</f>
        <v>3.3056186942546084</v>
      </c>
      <c r="P269" s="51" t="str">
        <f>IF('Experimental Procedure'!$F$110=0,"NaN",L269/'Experimental Procedure'!$F$110*100)</f>
        <v>NaN</v>
      </c>
      <c r="Q269" s="109" t="str">
        <f>IF('Experimental Procedure'!$H$110=0,"NaN",'Zed Mini'!M269/'Experimental Procedure'!$H$110*100)</f>
        <v>NaN</v>
      </c>
    </row>
    <row r="270" spans="4:17" x14ac:dyDescent="0.25">
      <c r="D270" s="73"/>
      <c r="E270" s="9" t="s">
        <v>135</v>
      </c>
      <c r="F270" s="19">
        <f t="shared" si="80"/>
        <v>1.5284639999999998</v>
      </c>
      <c r="G270" s="49">
        <f t="shared" si="81"/>
        <v>0.73578600000000538</v>
      </c>
      <c r="H270" s="87"/>
      <c r="I270" s="90"/>
      <c r="J270" s="19">
        <f>'Zed Mini'!F270-'Experimental Procedure'!$C$111</f>
        <v>0.12846399999999991</v>
      </c>
      <c r="K270" s="87"/>
      <c r="L270" s="49">
        <f>IF('Zed Mini'!G270-'Experimental Procedure'!$D$111&lt;-180,'Zed Mini'!G270-'Experimental Procedure'!$D$111 + 360,IF('Zed Mini'!G270-'Experimental Procedure'!$D$111&gt;180,'Zed Mini'!G270-'Experimental Procedure'!$D$111 - 360,'Zed Mini'!G270-'Experimental Procedure'!$D$111))</f>
        <v>0.73578600000000538</v>
      </c>
      <c r="M270" s="107"/>
      <c r="N270" s="52" t="str">
        <f>IF('Experimental Procedure'!$E$111=0,"NaN",J270/'Experimental Procedure'!$E$111*100)</f>
        <v>NaN</v>
      </c>
      <c r="O270" s="93"/>
      <c r="P270" s="52" t="str">
        <f>IF('Experimental Procedure'!$F$111=0,"NaN",L270/'Experimental Procedure'!$F$111*100)</f>
        <v>NaN</v>
      </c>
      <c r="Q270" s="110"/>
    </row>
    <row r="271" spans="4:17" ht="15.75" thickBot="1" x14ac:dyDescent="0.3">
      <c r="D271" s="74"/>
      <c r="E271" s="10" t="s">
        <v>136</v>
      </c>
      <c r="F271" s="21">
        <f t="shared" si="80"/>
        <v>3.9690236666666667</v>
      </c>
      <c r="G271" s="50">
        <f t="shared" si="81"/>
        <v>7.1386749999999992</v>
      </c>
      <c r="H271" s="88"/>
      <c r="I271" s="91"/>
      <c r="J271" s="21">
        <f>'Zed Mini'!F271-'Experimental Procedure'!$C$112</f>
        <v>-3.0976333333333272E-2</v>
      </c>
      <c r="K271" s="88"/>
      <c r="L271" s="50">
        <f>IF('Zed Mini'!G271-'Experimental Procedure'!$D$112&lt;-180,'Zed Mini'!G271-'Experimental Procedure'!$D$112 + 360,IF('Zed Mini'!G271-'Experimental Procedure'!$D$112&gt;180,'Zed Mini'!G271-'Experimental Procedure'!$D$112 - 360,'Zed Mini'!G271-'Experimental Procedure'!$D$112))</f>
        <v>7.1386749999999992</v>
      </c>
      <c r="M271" s="108"/>
      <c r="N271" s="53">
        <f>IF('Experimental Procedure'!$E$112=0,"NaN",J271/'Experimental Procedure'!$E$112*100)</f>
        <v>-0.77440833333333181</v>
      </c>
      <c r="O271" s="94"/>
      <c r="P271" s="53" t="str">
        <f>IF('Experimental Procedure'!$F$112=0,"NaN",L271/'Experimental Procedure'!$F$112*100)</f>
        <v>NaN</v>
      </c>
      <c r="Q271" s="111"/>
    </row>
    <row r="272" spans="4:17" x14ac:dyDescent="0.25">
      <c r="D272" s="72" t="s">
        <v>191</v>
      </c>
      <c r="E272" s="8" t="s">
        <v>134</v>
      </c>
      <c r="F272" s="17">
        <f t="shared" si="80"/>
        <v>5.8860740000000007</v>
      </c>
      <c r="G272" s="48">
        <f t="shared" si="81"/>
        <v>2.9976033333329728E-2</v>
      </c>
      <c r="H272" s="86">
        <f>SQRT((F269-F272)^2+(F270-F273)^2+(F271-F274)^2)</f>
        <v>0.24982017925032912</v>
      </c>
      <c r="I272" s="89">
        <f t="shared" ref="I272" si="85">(I113+I166+I219)/3</f>
        <v>90.481451532859339</v>
      </c>
      <c r="J272" s="17">
        <f>'Zed Mini'!F272-'Experimental Procedure'!$C$113</f>
        <v>-0.11392599999999931</v>
      </c>
      <c r="K272" s="86">
        <f t="shared" ref="K272" si="86">SQRT(J272^2+J273^2+J274^2)</f>
        <v>0.2918666449748733</v>
      </c>
      <c r="L272" s="48">
        <f>IF('Zed Mini'!G272-'Experimental Procedure'!$D$113&lt;-180,'Zed Mini'!G272-'Experimental Procedure'!$D$113 + 360,IF('Zed Mini'!G272-'Experimental Procedure'!$D$113&gt;180,'Zed Mini'!G272-'Experimental Procedure'!$D$113 - 360,'Zed Mini'!G272-'Experimental Procedure'!$D$113))</f>
        <v>2.9976033333329728E-2</v>
      </c>
      <c r="M272" s="106">
        <f t="shared" ref="M272" si="87">(M113+M166+M219)/3</f>
        <v>9.3640499564903124</v>
      </c>
      <c r="N272" s="51" t="str">
        <f>IF('Experimental Procedure'!$E$113=0,"NaN",J272/'Experimental Procedure'!$E$113*100)</f>
        <v>NaN</v>
      </c>
      <c r="O272" s="92" t="str">
        <f>IF('Experimental Procedure'!$G$113=0,"NaN",'Zed Mini'!K272/'Experimental Procedure'!$G$113*100)</f>
        <v>NaN</v>
      </c>
      <c r="P272" s="51" t="str">
        <f>IF('Experimental Procedure'!$F$113=0,"NaN",L272/'Experimental Procedure'!$F$113*100)</f>
        <v>NaN</v>
      </c>
      <c r="Q272" s="109">
        <f>IF('Experimental Procedure'!$H$113=0,"NaN",'Zed Mini'!M272/'Experimental Procedure'!$H$113*100)</f>
        <v>10.404499951655904</v>
      </c>
    </row>
    <row r="273" spans="4:17" x14ac:dyDescent="0.25">
      <c r="D273" s="73"/>
      <c r="E273" s="9" t="s">
        <v>135</v>
      </c>
      <c r="F273" s="19">
        <f t="shared" si="80"/>
        <v>1.4917446666666667</v>
      </c>
      <c r="G273" s="49">
        <f t="shared" si="81"/>
        <v>-89.734899999999996</v>
      </c>
      <c r="H273" s="87"/>
      <c r="I273" s="90"/>
      <c r="J273" s="19">
        <f>'Zed Mini'!F273-'Experimental Procedure'!$C$114</f>
        <v>9.1744666666666808E-2</v>
      </c>
      <c r="K273" s="87"/>
      <c r="L273" s="49">
        <f>IF('Zed Mini'!G273-'Experimental Procedure'!$D$114&lt;-180,'Zed Mini'!G273-'Experimental Procedure'!$D$114 + 360,IF('Zed Mini'!G273-'Experimental Procedure'!$D$114&gt;180,'Zed Mini'!G273-'Experimental Procedure'!$D$114 - 360,'Zed Mini'!G273-'Experimental Procedure'!$D$114))</f>
        <v>0.2651000000000181</v>
      </c>
      <c r="M273" s="107"/>
      <c r="N273" s="52" t="str">
        <f>IF('Experimental Procedure'!$E$114=0,"NaN",J273/'Experimental Procedure'!$E$114*100)</f>
        <v>NaN</v>
      </c>
      <c r="O273" s="93"/>
      <c r="P273" s="52">
        <f>IF('Experimental Procedure'!$F$114=0,"NaN",L273/'Experimental Procedure'!$F$114*100)</f>
        <v>0.29455555555557567</v>
      </c>
      <c r="Q273" s="110"/>
    </row>
    <row r="274" spans="4:17" ht="15.75" thickBot="1" x14ac:dyDescent="0.3">
      <c r="D274" s="74"/>
      <c r="E274" s="10" t="s">
        <v>136</v>
      </c>
      <c r="F274" s="21">
        <f t="shared" si="80"/>
        <v>3.7474333333333334</v>
      </c>
      <c r="G274" s="50">
        <f t="shared" si="81"/>
        <v>8.7833070000000006</v>
      </c>
      <c r="H274" s="88"/>
      <c r="I274" s="91"/>
      <c r="J274" s="21">
        <f>'Zed Mini'!F274-'Experimental Procedure'!$C$115</f>
        <v>-0.25256666666666661</v>
      </c>
      <c r="K274" s="88"/>
      <c r="L274" s="50">
        <f>IF('Zed Mini'!G274-'Experimental Procedure'!$D$115&lt;-180,'Zed Mini'!G274-'Experimental Procedure'!$D$115 + 360,IF('Zed Mini'!G274-'Experimental Procedure'!$D$115&gt;180,'Zed Mini'!G274-'Experimental Procedure'!$D$115 - 360,'Zed Mini'!G274-'Experimental Procedure'!$D$115))</f>
        <v>8.7833070000000006</v>
      </c>
      <c r="M274" s="108"/>
      <c r="N274" s="53" t="str">
        <f>IF('Experimental Procedure'!$E$115=0,"NaN",J274/'Experimental Procedure'!$E$115*100)</f>
        <v>NaN</v>
      </c>
      <c r="O274" s="94"/>
      <c r="P274" s="53" t="str">
        <f>IF('Experimental Procedure'!$F$115=0,"NaN",L274/'Experimental Procedure'!$F$115*100)</f>
        <v>NaN</v>
      </c>
      <c r="Q274" s="111"/>
    </row>
    <row r="275" spans="4:17" x14ac:dyDescent="0.25">
      <c r="D275" s="72" t="s">
        <v>188</v>
      </c>
      <c r="E275" s="9" t="s">
        <v>134</v>
      </c>
      <c r="F275" s="17">
        <f t="shared" si="80"/>
        <v>1.5153673333333331</v>
      </c>
      <c r="G275" s="48">
        <f t="shared" si="81"/>
        <v>-3.0041714333333367</v>
      </c>
      <c r="H275" s="86">
        <f>SQRT((F272-F275)^2+(F273-F276)^2+(F274-F277)^2)</f>
        <v>4.4213984736519372</v>
      </c>
      <c r="I275" s="89">
        <f t="shared" ref="I275" si="88">(I116+I169+I222)/3</f>
        <v>5.1047600442686445</v>
      </c>
      <c r="J275" s="17">
        <f>'Zed Mini'!F275-'Experimental Procedure'!$C$116</f>
        <v>1.5153673333333331</v>
      </c>
      <c r="K275" s="86">
        <f t="shared" ref="K275" si="89">SQRT(J275^2+J276^2+J277^2)</f>
        <v>1.7360532033699949</v>
      </c>
      <c r="L275" s="48">
        <f>IF('Zed Mini'!G275-'Experimental Procedure'!$D$116&lt;-180,'Zed Mini'!G275-'Experimental Procedure'!$D$116 + 360,IF('Zed Mini'!G275-'Experimental Procedure'!$D$116&gt;180,'Zed Mini'!G275-'Experimental Procedure'!$D$116 - 360,'Zed Mini'!G275-'Experimental Procedure'!$D$116))</f>
        <v>-3.0041714333333367</v>
      </c>
      <c r="M275" s="106">
        <f t="shared" ref="M275" si="90">(M116+M169+M222)/3</f>
        <v>8.605074612465339</v>
      </c>
      <c r="N275" s="51">
        <f>IF('Experimental Procedure'!$E$116=0,"NaN",J275/'Experimental Procedure'!$E$116*100)</f>
        <v>25.256122222222217</v>
      </c>
      <c r="O275" s="92">
        <f>IF('Experimental Procedure'!$G$116=0,"NaN",'Zed Mini'!K275/'Experimental Procedure'!$G$116*100)</f>
        <v>28.934220056166581</v>
      </c>
      <c r="P275" s="51" t="str">
        <f>IF('Experimental Procedure'!$F$116=0,"NaN",L275/'Experimental Procedure'!$F$116*100)</f>
        <v>NaN</v>
      </c>
      <c r="Q275" s="109" t="str">
        <f>IF('Experimental Procedure'!$H$116=0,"NaN",'Zed Mini'!M275/'Experimental Procedure'!$H$116*100)</f>
        <v>NaN</v>
      </c>
    </row>
    <row r="276" spans="4:17" x14ac:dyDescent="0.25">
      <c r="D276" s="73"/>
      <c r="E276" s="9" t="s">
        <v>135</v>
      </c>
      <c r="F276" s="19">
        <f t="shared" si="80"/>
        <v>2.1399403333333331</v>
      </c>
      <c r="G276" s="49">
        <f t="shared" si="81"/>
        <v>-89.053033333333318</v>
      </c>
      <c r="H276" s="87"/>
      <c r="I276" s="90"/>
      <c r="J276" s="19">
        <f>'Zed Mini'!F276-'Experimental Procedure'!$C$117</f>
        <v>0.7399403333333332</v>
      </c>
      <c r="K276" s="87"/>
      <c r="L276" s="49">
        <f>IF('Zed Mini'!G276-'Experimental Procedure'!$D$117&lt;-180,'Zed Mini'!G276-'Experimental Procedure'!$D$117 + 360,IF('Zed Mini'!G276-'Experimental Procedure'!$D$117&gt;180,'Zed Mini'!G276-'Experimental Procedure'!$D$117 - 360,'Zed Mini'!G276-'Experimental Procedure'!$D$117))</f>
        <v>0.94696666666669671</v>
      </c>
      <c r="M276" s="107"/>
      <c r="N276" s="52" t="str">
        <f>IF('Experimental Procedure'!$E$117=0,"NaN",J276/'Experimental Procedure'!$E$117*100)</f>
        <v>NaN</v>
      </c>
      <c r="O276" s="93"/>
      <c r="P276" s="52" t="str">
        <f>IF('Experimental Procedure'!$F$117=0,"NaN",L276/'Experimental Procedure'!$F$117*100)</f>
        <v>NaN</v>
      </c>
      <c r="Q276" s="110"/>
    </row>
    <row r="277" spans="4:17" ht="15.75" thickBot="1" x14ac:dyDescent="0.3">
      <c r="D277" s="74"/>
      <c r="E277" s="10" t="s">
        <v>136</v>
      </c>
      <c r="F277" s="21">
        <f t="shared" si="80"/>
        <v>3.5876520000000003</v>
      </c>
      <c r="G277" s="50">
        <f t="shared" si="81"/>
        <v>7.1592593333333339</v>
      </c>
      <c r="H277" s="88"/>
      <c r="I277" s="91"/>
      <c r="J277" s="21">
        <f>'Zed Mini'!F277-'Experimental Procedure'!$C$118</f>
        <v>-0.41234799999999971</v>
      </c>
      <c r="K277" s="88"/>
      <c r="L277" s="50">
        <f>IF('Zed Mini'!G277-'Experimental Procedure'!$D$118&lt;-180,'Zed Mini'!G277-'Experimental Procedure'!$D$118 + 360,IF('Zed Mini'!G277-'Experimental Procedure'!$D$118&gt;180,'Zed Mini'!G277-'Experimental Procedure'!$D$118 - 360,'Zed Mini'!G277-'Experimental Procedure'!$D$118))</f>
        <v>7.1592593333333339</v>
      </c>
      <c r="M277" s="108"/>
      <c r="N277" s="53" t="str">
        <f>IF('Experimental Procedure'!$E$118=0,"NaN",J277/'Experimental Procedure'!$E$118*100)</f>
        <v>NaN</v>
      </c>
      <c r="O277" s="94"/>
      <c r="P277" s="53" t="str">
        <f>IF('Experimental Procedure'!$F$118=0,"NaN",L277/'Experimental Procedure'!$F$118*100)</f>
        <v>NaN</v>
      </c>
      <c r="Q277" s="111"/>
    </row>
    <row r="278" spans="4:17" x14ac:dyDescent="0.25">
      <c r="D278" s="72" t="s">
        <v>191</v>
      </c>
      <c r="E278" s="8" t="s">
        <v>134</v>
      </c>
      <c r="F278" s="17">
        <f t="shared" si="80"/>
        <v>1.3364553333333333</v>
      </c>
      <c r="G278" s="48">
        <f t="shared" si="81"/>
        <v>0.51386633333332876</v>
      </c>
      <c r="H278" s="86">
        <f>SQRT((F275-F278)^2+(F276-F279)^2+(F277-F280)^2)</f>
        <v>0.28677226241837894</v>
      </c>
      <c r="I278" s="89">
        <f t="shared" ref="I278" si="91">(I119+I172+I225)/3</f>
        <v>94.67024230737718</v>
      </c>
      <c r="J278" s="17">
        <f>'Zed Mini'!F278-'Experimental Procedure'!$C$119</f>
        <v>1.3364553333333333</v>
      </c>
      <c r="K278" s="86">
        <f t="shared" ref="K278" si="92">SQRT(J278^2+J279^2+J280^2)</f>
        <v>1.6480249071064834</v>
      </c>
      <c r="L278" s="48">
        <f>IF('Zed Mini'!G278-'Experimental Procedure'!$D$119&lt;-180,'Zed Mini'!G278-'Experimental Procedure'!$D$119 + 360,IF('Zed Mini'!G278-'Experimental Procedure'!$D$119&gt;180,'Zed Mini'!G278-'Experimental Procedure'!$D$119 - 360,'Zed Mini'!G278-'Experimental Procedure'!$D$119))</f>
        <v>0.51386633333332876</v>
      </c>
      <c r="M278" s="106">
        <f t="shared" ref="M278" si="93">(M119+M172+M225)/3</f>
        <v>6.8685838974105851</v>
      </c>
      <c r="N278" s="51" t="str">
        <f>IF('Experimental Procedure'!$E$119=0,"NaN",J278/'Experimental Procedure'!$E$119*100)</f>
        <v>NaN</v>
      </c>
      <c r="O278" s="92" t="str">
        <f>IF('Experimental Procedure'!$G$119=0,"NaN",'Zed Mini'!K278/'Experimental Procedure'!$G$119*100)</f>
        <v>NaN</v>
      </c>
      <c r="P278" s="51" t="str">
        <f>IF('Experimental Procedure'!$F$119=0,"NaN",L278/'Experimental Procedure'!$F$119*100)</f>
        <v>NaN</v>
      </c>
      <c r="Q278" s="109">
        <f>IF('Experimental Procedure'!$H$119=0,"NaN",'Zed Mini'!M278/'Experimental Procedure'!$H$119*100)</f>
        <v>7.6317598860117632</v>
      </c>
    </row>
    <row r="279" spans="4:17" x14ac:dyDescent="0.25">
      <c r="D279" s="73"/>
      <c r="E279" s="9" t="s">
        <v>135</v>
      </c>
      <c r="F279" s="19">
        <f t="shared" si="80"/>
        <v>2.1248656666666665</v>
      </c>
      <c r="G279" s="49">
        <f>AVERAGE(G120,G173,G226)</f>
        <v>176.61053333333334</v>
      </c>
      <c r="H279" s="87"/>
      <c r="I279" s="90"/>
      <c r="J279" s="19">
        <f>'Zed Mini'!F279-'Experimental Procedure'!$C$120</f>
        <v>0.72486566666666663</v>
      </c>
      <c r="K279" s="87"/>
      <c r="L279" s="49">
        <f>IF('Zed Mini'!G279-'Experimental Procedure'!$D$120&lt;-180,'Zed Mini'!G279-'Experimental Procedure'!$D$120 + 360,IF('Zed Mini'!G279-'Experimental Procedure'!$D$120&gt;180,'Zed Mini'!G279-'Experimental Procedure'!$D$120 - 360,'Zed Mini'!G279-'Experimental Procedure'!$D$120))</f>
        <v>-3.3894666666666637</v>
      </c>
      <c r="M279" s="107"/>
      <c r="N279" s="52" t="str">
        <f>IF('Experimental Procedure'!$E$120=0,"NaN",J279/'Experimental Procedure'!$E$120*100)</f>
        <v>NaN</v>
      </c>
      <c r="O279" s="93"/>
      <c r="P279" s="52">
        <f>IF('Experimental Procedure'!$F$120=0,"NaN",L279/'Experimental Procedure'!$F$120*100)</f>
        <v>-3.766074074074071</v>
      </c>
      <c r="Q279" s="110"/>
    </row>
    <row r="280" spans="4:17" ht="15.75" thickBot="1" x14ac:dyDescent="0.3">
      <c r="D280" s="74"/>
      <c r="E280" s="10" t="s">
        <v>136</v>
      </c>
      <c r="F280" s="21">
        <f t="shared" si="80"/>
        <v>3.3640416666666666</v>
      </c>
      <c r="G280" s="50">
        <f t="shared" si="81"/>
        <v>5.4353243333333339</v>
      </c>
      <c r="H280" s="88"/>
      <c r="I280" s="91"/>
      <c r="J280" s="21">
        <f>'Zed Mini'!F280-'Experimental Procedure'!$C$121</f>
        <v>-0.6359583333333334</v>
      </c>
      <c r="K280" s="88"/>
      <c r="L280" s="50">
        <f>IF('Zed Mini'!G280-'Experimental Procedure'!$D$121&lt;-180,'Zed Mini'!G280-'Experimental Procedure'!$D$121 + 360,IF('Zed Mini'!G280-'Experimental Procedure'!$D$121&gt;180,'Zed Mini'!G280-'Experimental Procedure'!$D$121 - 360,'Zed Mini'!G280-'Experimental Procedure'!$D$121))</f>
        <v>5.4353243333333339</v>
      </c>
      <c r="M280" s="108"/>
      <c r="N280" s="53" t="str">
        <f>IF('Experimental Procedure'!$E$121=0,"NaN",J280/'Experimental Procedure'!$E$121*100)</f>
        <v>NaN</v>
      </c>
      <c r="O280" s="94"/>
      <c r="P280" s="53" t="str">
        <f>IF('Experimental Procedure'!$F$121=0,"NaN",L280/'Experimental Procedure'!$F$121*100)</f>
        <v>NaN</v>
      </c>
      <c r="Q280" s="111"/>
    </row>
    <row r="281" spans="4:17" x14ac:dyDescent="0.25">
      <c r="D281" s="72" t="s">
        <v>190</v>
      </c>
      <c r="E281" s="8" t="s">
        <v>134</v>
      </c>
      <c r="F281" s="17">
        <f t="shared" si="80"/>
        <v>1.4684533333333334</v>
      </c>
      <c r="G281" s="48">
        <f t="shared" si="81"/>
        <v>9.1451899999999142E-2</v>
      </c>
      <c r="H281" s="86">
        <f>SQRT((F278-F281)^2+(F279-F282)^2+(F280-F283)^2)</f>
        <v>2.4757736514451496</v>
      </c>
      <c r="I281" s="89">
        <f t="shared" ref="I281" si="94">(I122+I175+I228)/3</f>
        <v>5.0707084953132417</v>
      </c>
      <c r="J281" s="17">
        <f>'Zed Mini'!F281-'Experimental Procedure'!$C$122</f>
        <v>1.4684533333333334</v>
      </c>
      <c r="K281" s="86">
        <f t="shared" ref="K281" si="95">SQRT(J281^2+J282^2+J283^2)</f>
        <v>1.8281063653061098</v>
      </c>
      <c r="L281" s="48">
        <f>IF('Zed Mini'!G281-'Experimental Procedure'!$D$122&lt;-180,'Zed Mini'!G281-'Experimental Procedure'!$D$122 + 360,IF('Zed Mini'!G281-'Experimental Procedure'!$D$122&gt;180,'Zed Mini'!G281-'Experimental Procedure'!$D$122 - 360,'Zed Mini'!G281-'Experimental Procedure'!$D$122))</f>
        <v>9.1451899999999142E-2</v>
      </c>
      <c r="M281" s="106">
        <f t="shared" ref="M281" si="96">(M122+M175+M228)/3</f>
        <v>6.4854787003098506</v>
      </c>
      <c r="N281" s="51" t="str">
        <f>IF('Experimental Procedure'!$E$122=0,"NaN",J281/'Experimental Procedure'!$E$122*100)</f>
        <v>NaN</v>
      </c>
      <c r="O281" s="92">
        <f>IF('Experimental Procedure'!$G$122=0,"NaN",'Zed Mini'!K281/'Experimental Procedure'!$G$122*100)</f>
        <v>45.702659132652748</v>
      </c>
      <c r="P281" s="51" t="str">
        <f>IF('Experimental Procedure'!$F$122=0,"NaN",L281/'Experimental Procedure'!$F$122*100)</f>
        <v>NaN</v>
      </c>
      <c r="Q281" s="109" t="str">
        <f>IF('Experimental Procedure'!$H$122=0,"NaN",'Zed Mini'!M281/'Experimental Procedure'!$H$122*100)</f>
        <v>NaN</v>
      </c>
    </row>
    <row r="282" spans="4:17" x14ac:dyDescent="0.25">
      <c r="D282" s="73"/>
      <c r="E282" s="9" t="s">
        <v>135</v>
      </c>
      <c r="F282" s="19">
        <f t="shared" si="80"/>
        <v>2.0216769999999999</v>
      </c>
      <c r="G282" s="49">
        <f>AVERAGE(G123,G176,G229)</f>
        <v>181.18269999999998</v>
      </c>
      <c r="H282" s="87"/>
      <c r="I282" s="90"/>
      <c r="J282" s="19">
        <f>'Zed Mini'!F282-'Experimental Procedure'!$C$123</f>
        <v>0.62167700000000004</v>
      </c>
      <c r="K282" s="87"/>
      <c r="L282" s="49">
        <f>IF('Zed Mini'!G282-'Experimental Procedure'!$D$123&lt;-180,'Zed Mini'!G282-'Experimental Procedure'!$D$123 + 360,IF('Zed Mini'!G282-'Experimental Procedure'!$D$123&gt;180,'Zed Mini'!G282-'Experimental Procedure'!$D$123 - 360,'Zed Mini'!G282-'Experimental Procedure'!$D$123))</f>
        <v>1.1826999999999828</v>
      </c>
      <c r="M282" s="107"/>
      <c r="N282" s="52" t="str">
        <f>IF('Experimental Procedure'!$E$123=0,"NaN",J282/'Experimental Procedure'!$E$123*100)</f>
        <v>NaN</v>
      </c>
      <c r="O282" s="93"/>
      <c r="P282" s="52" t="str">
        <f>IF('Experimental Procedure'!$F$123=0,"NaN",L282/'Experimental Procedure'!$F$123*100)</f>
        <v>NaN</v>
      </c>
      <c r="Q282" s="110"/>
    </row>
    <row r="283" spans="4:17" ht="15.75" thickBot="1" x14ac:dyDescent="0.3">
      <c r="D283" s="74"/>
      <c r="E283" s="10" t="s">
        <v>136</v>
      </c>
      <c r="F283" s="21">
        <f t="shared" si="80"/>
        <v>0.89394373333333332</v>
      </c>
      <c r="G283" s="50">
        <f t="shared" si="81"/>
        <v>5.0684503333333337</v>
      </c>
      <c r="H283" s="88"/>
      <c r="I283" s="91"/>
      <c r="J283" s="21">
        <f>'Zed Mini'!F283-'Experimental Procedure'!$C$124</f>
        <v>0.89394373333333332</v>
      </c>
      <c r="K283" s="88"/>
      <c r="L283" s="50">
        <f>IF('Zed Mini'!G283-'Experimental Procedure'!$D$124&lt;-180,'Zed Mini'!G283-'Experimental Procedure'!$D$124 + 360,IF('Zed Mini'!G283-'Experimental Procedure'!$D$124&gt;180,'Zed Mini'!G283-'Experimental Procedure'!$D$124 - 360,'Zed Mini'!G283-'Experimental Procedure'!$D$124))</f>
        <v>5.0684503333333337</v>
      </c>
      <c r="M283" s="108"/>
      <c r="N283" s="53">
        <f>IF('Experimental Procedure'!$E$124=0,"NaN",J283/'Experimental Procedure'!$E$124*100)</f>
        <v>22.348593333333334</v>
      </c>
      <c r="O283" s="94"/>
      <c r="P283" s="53" t="str">
        <f>IF('Experimental Procedure'!$F$124=0,"NaN",L283/'Experimental Procedure'!$F$124*100)</f>
        <v>NaN</v>
      </c>
      <c r="Q283" s="111"/>
    </row>
    <row r="284" spans="4:17" x14ac:dyDescent="0.25">
      <c r="D284" s="72" t="s">
        <v>191</v>
      </c>
      <c r="E284" s="8" t="s">
        <v>134</v>
      </c>
      <c r="F284" s="17">
        <f t="shared" si="80"/>
        <v>1.4852036666666668</v>
      </c>
      <c r="G284" s="48">
        <f t="shared" si="81"/>
        <v>-0.72500766666666783</v>
      </c>
      <c r="H284" s="86">
        <f>SQRT((F281-F284)^2+(F282-F285)^2+(F283-F286)^2)</f>
        <v>8.1728387317919177E-2</v>
      </c>
      <c r="I284" s="89">
        <f t="shared" ref="I284" si="97">(I125+I178+I231)/3</f>
        <v>93.168379821613499</v>
      </c>
      <c r="J284" s="17">
        <f>'Zed Mini'!F284-'Experimental Procedure'!$C$125</f>
        <v>1.4852036666666668</v>
      </c>
      <c r="K284" s="86">
        <f t="shared" ref="K284" si="98">SQRT(J284^2+J285^2+J286^2)</f>
        <v>1.8834237953604087</v>
      </c>
      <c r="L284" s="48">
        <f>IF('Zed Mini'!G284-'Experimental Procedure'!$D$125&lt;-180,'Zed Mini'!G284-'Experimental Procedure'!$D$125 + 360,IF('Zed Mini'!G284-'Experimental Procedure'!$D$125&gt;180,'Zed Mini'!G284-'Experimental Procedure'!$D$125 - 360,'Zed Mini'!G284-'Experimental Procedure'!$D$125))</f>
        <v>-0.72500766666666783</v>
      </c>
      <c r="M284" s="106">
        <f t="shared" ref="M284" si="99">(M125+M178+M231)/3</f>
        <v>8.8011243569798392</v>
      </c>
      <c r="N284" s="51" t="str">
        <f>IF('Experimental Procedure'!$E$125=0,"NaN",J284/'Experimental Procedure'!$E$125*100)</f>
        <v>NaN</v>
      </c>
      <c r="O284" s="92" t="str">
        <f>IF('Experimental Procedure'!$G$125=0,"NaN",'Zed Mini'!K284/'Experimental Procedure'!$G$125*100)</f>
        <v>NaN</v>
      </c>
      <c r="P284" s="51" t="str">
        <f>IF('Experimental Procedure'!$F$125=0,"NaN",L284/'Experimental Procedure'!$F$125*100)</f>
        <v>NaN</v>
      </c>
      <c r="Q284" s="109">
        <f>IF('Experimental Procedure'!$H$125=0,"NaN",'Zed Mini'!M284/'Experimental Procedure'!$H$125*100)</f>
        <v>9.7790270633109326</v>
      </c>
    </row>
    <row r="285" spans="4:17" x14ac:dyDescent="0.25">
      <c r="D285" s="73"/>
      <c r="E285" s="9" t="s">
        <v>135</v>
      </c>
      <c r="F285" s="19">
        <f t="shared" si="80"/>
        <v>2.0271050000000002</v>
      </c>
      <c r="G285" s="49">
        <f t="shared" si="81"/>
        <v>88.027960000000007</v>
      </c>
      <c r="H285" s="87"/>
      <c r="I285" s="90"/>
      <c r="J285" s="19">
        <f>'Zed Mini'!F285-'Experimental Procedure'!$C$126</f>
        <v>0.62710500000000025</v>
      </c>
      <c r="K285" s="87"/>
      <c r="L285" s="49">
        <f>IF('Zed Mini'!G285-'Experimental Procedure'!$D$126&lt;-180,'Zed Mini'!G285-'Experimental Procedure'!$D$126 + 360,IF('Zed Mini'!G285-'Experimental Procedure'!$D$126&gt;180,'Zed Mini'!G285-'Experimental Procedure'!$D$126 - 360,'Zed Mini'!G285-'Experimental Procedure'!$D$126))</f>
        <v>-1.9720399999999927</v>
      </c>
      <c r="M285" s="107"/>
      <c r="N285" s="52" t="str">
        <f>IF('Experimental Procedure'!$E$126=0,"NaN",J285/'Experimental Procedure'!$E$126*100)</f>
        <v>NaN</v>
      </c>
      <c r="O285" s="93"/>
      <c r="P285" s="52">
        <f>IF('Experimental Procedure'!$F$126=0,"NaN",L285/'Experimental Procedure'!$F$126*100)</f>
        <v>-2.1911555555555475</v>
      </c>
      <c r="Q285" s="110"/>
    </row>
    <row r="286" spans="4:17" ht="15.75" thickBot="1" x14ac:dyDescent="0.3">
      <c r="D286" s="74"/>
      <c r="E286" s="10" t="s">
        <v>136</v>
      </c>
      <c r="F286" s="21">
        <f t="shared" si="80"/>
        <v>0.97375283333333351</v>
      </c>
      <c r="G286" s="50">
        <f t="shared" si="81"/>
        <v>6.3646716666666663</v>
      </c>
      <c r="H286" s="88"/>
      <c r="I286" s="91"/>
      <c r="J286" s="21">
        <f>'Zed Mini'!F286-'Experimental Procedure'!$C$127</f>
        <v>0.97375283333333351</v>
      </c>
      <c r="K286" s="88"/>
      <c r="L286" s="50">
        <f>IF('Zed Mini'!G286-'Experimental Procedure'!$D$127&lt;-180,'Zed Mini'!G286-'Experimental Procedure'!$D$127 + 360,IF('Zed Mini'!G286-'Experimental Procedure'!$D$127&gt;180,'Zed Mini'!G286-'Experimental Procedure'!$D$127 - 360,'Zed Mini'!G286-'Experimental Procedure'!$D$127))</f>
        <v>6.3646716666666663</v>
      </c>
      <c r="M286" s="108"/>
      <c r="N286" s="53" t="str">
        <f>IF('Experimental Procedure'!$E$127=0,"NaN",J286/'Experimental Procedure'!$E$127*100)</f>
        <v>NaN</v>
      </c>
      <c r="O286" s="94"/>
      <c r="P286" s="53" t="str">
        <f>IF('Experimental Procedure'!$F$127=0,"NaN",L286/'Experimental Procedure'!$F$127*100)</f>
        <v>NaN</v>
      </c>
      <c r="Q286" s="111"/>
    </row>
    <row r="287" spans="4:17" x14ac:dyDescent="0.25">
      <c r="D287" s="72" t="s">
        <v>180</v>
      </c>
      <c r="E287" s="8" t="s">
        <v>134</v>
      </c>
      <c r="F287" s="17">
        <f t="shared" si="80"/>
        <v>7.2405683333333331</v>
      </c>
      <c r="G287" s="48">
        <f t="shared" si="81"/>
        <v>5.6120000000001724E-3</v>
      </c>
      <c r="H287" s="86">
        <f>SQRT((F284-F287)^2+(F285-F288)^2+(F286-F289)^2)</f>
        <v>5.8052413638436251</v>
      </c>
      <c r="I287" s="89">
        <f t="shared" ref="I287" si="100">(I128+I181+I234)/3</f>
        <v>4.3231125881606998</v>
      </c>
      <c r="J287" s="17">
        <f>'Zed Mini'!F287-'Experimental Procedure'!$C$128</f>
        <v>1.2405683333333331</v>
      </c>
      <c r="K287" s="86">
        <f t="shared" ref="K287" si="101">SQRT(J287^2+J288^2+J289^2)</f>
        <v>2.2215872679262767</v>
      </c>
      <c r="L287" s="48">
        <f>IF('Zed Mini'!G287-'Experimental Procedure'!$D$128&lt;-180,'Zed Mini'!G287-'Experimental Procedure'!$D$128 + 360,IF('Zed Mini'!G287-'Experimental Procedure'!$D$128&gt;180,'Zed Mini'!G287-'Experimental Procedure'!$D$128 - 360,'Zed Mini'!G287-'Experimental Procedure'!$D$128))</f>
        <v>5.6120000000001724E-3</v>
      </c>
      <c r="M287" s="106">
        <f t="shared" ref="M287" si="102">(M128+M181+M234)/3</f>
        <v>8.515100853147672</v>
      </c>
      <c r="N287" s="51">
        <f>IF('Experimental Procedure'!$E$128=0,"NaN",J287/'Experimental Procedure'!$E$128*100)</f>
        <v>20.676138888888886</v>
      </c>
      <c r="O287" s="92">
        <f>IF('Experimental Procedure'!$G$128=0,"NaN",'Zed Mini'!K287/'Experimental Procedure'!$G$128*100)</f>
        <v>37.026454465437943</v>
      </c>
      <c r="P287" s="51" t="str">
        <f>IF('Experimental Procedure'!$F$128=0,"NaN",L287/'Experimental Procedure'!$F$128*100)</f>
        <v>NaN</v>
      </c>
      <c r="Q287" s="109" t="str">
        <f>IF('Experimental Procedure'!$H$128=0,"NaN",'Zed Mini'!M287/'Experimental Procedure'!$H$128*100)</f>
        <v>NaN</v>
      </c>
    </row>
    <row r="288" spans="4:17" x14ac:dyDescent="0.25">
      <c r="D288" s="73"/>
      <c r="E288" s="9" t="s">
        <v>135</v>
      </c>
      <c r="F288" s="19">
        <f t="shared" si="80"/>
        <v>2.7185773333333336</v>
      </c>
      <c r="G288" s="49">
        <f t="shared" si="81"/>
        <v>88.742869999999996</v>
      </c>
      <c r="H288" s="87"/>
      <c r="I288" s="90"/>
      <c r="J288" s="19">
        <f>'Zed Mini'!F288-'Experimental Procedure'!$C$129</f>
        <v>1.3185773333333337</v>
      </c>
      <c r="K288" s="87"/>
      <c r="L288" s="49">
        <f>IF('Zed Mini'!G288-'Experimental Procedure'!$D$129&lt;-180,'Zed Mini'!G288-'Experimental Procedure'!$D$129 + 360,IF('Zed Mini'!G288-'Experimental Procedure'!$D$129&gt;180,'Zed Mini'!G288-'Experimental Procedure'!$D$129 - 360,'Zed Mini'!G288-'Experimental Procedure'!$D$129))</f>
        <v>-1.2571300000000036</v>
      </c>
      <c r="M288" s="107"/>
      <c r="N288" s="52" t="str">
        <f>IF('Experimental Procedure'!$E$129=0,"NaN",J288/'Experimental Procedure'!$E$129*100)</f>
        <v>NaN</v>
      </c>
      <c r="O288" s="93"/>
      <c r="P288" s="52" t="str">
        <f>IF('Experimental Procedure'!$F$129=0,"NaN",L288/'Experimental Procedure'!$F$129*100)</f>
        <v>NaN</v>
      </c>
      <c r="Q288" s="110"/>
    </row>
    <row r="289" spans="4:17" ht="15.75" thickBot="1" x14ac:dyDescent="0.3">
      <c r="D289" s="74"/>
      <c r="E289" s="10" t="s">
        <v>136</v>
      </c>
      <c r="F289" s="21">
        <f t="shared" si="80"/>
        <v>1.2875535</v>
      </c>
      <c r="G289" s="50">
        <f t="shared" si="81"/>
        <v>3.6606943333333333</v>
      </c>
      <c r="H289" s="88"/>
      <c r="I289" s="91"/>
      <c r="J289" s="21">
        <f>'Zed Mini'!F289-'Experimental Procedure'!$C$130</f>
        <v>1.2875535</v>
      </c>
      <c r="K289" s="88"/>
      <c r="L289" s="50">
        <f>IF('Zed Mini'!G289-'Experimental Procedure'!$D$130&lt;-180,'Zed Mini'!G289-'Experimental Procedure'!$D$130 + 360,IF('Zed Mini'!G289-'Experimental Procedure'!$D$130&gt;180,'Zed Mini'!G289-'Experimental Procedure'!$D$130 - 360,'Zed Mini'!G289-'Experimental Procedure'!$D$130))</f>
        <v>3.6606943333333333</v>
      </c>
      <c r="M289" s="108"/>
      <c r="N289" s="53" t="str">
        <f>IF('Experimental Procedure'!$E$130=0,"NaN",J289/'Experimental Procedure'!$E$130*100)</f>
        <v>NaN</v>
      </c>
      <c r="O289" s="94"/>
      <c r="P289" s="53" t="str">
        <f>IF('Experimental Procedure'!$F$130=0,"NaN",L289/'Experimental Procedure'!$F$130*100)</f>
        <v>NaN</v>
      </c>
      <c r="Q289" s="111"/>
    </row>
    <row r="290" spans="4:17" x14ac:dyDescent="0.25">
      <c r="D290" s="83" t="s">
        <v>192</v>
      </c>
      <c r="E290" s="8" t="s">
        <v>134</v>
      </c>
      <c r="F290" s="17">
        <f t="shared" si="80"/>
        <v>5.9754576666666663</v>
      </c>
      <c r="G290" s="48">
        <f t="shared" si="81"/>
        <v>-1.2153351666666634</v>
      </c>
      <c r="H290" s="86">
        <f>SQRT((F287-F290)^2+(F288-F291)^2+(F289-F292)^2)</f>
        <v>2.2402336641014182</v>
      </c>
      <c r="I290" s="89">
        <f t="shared" ref="I290" si="103">(I131+I184+I237)/3</f>
        <v>89.25949675473619</v>
      </c>
      <c r="J290" s="17">
        <f>'Zed Mini'!F290-'Experimental Procedure'!$C$131</f>
        <v>-2.4542333333333666E-2</v>
      </c>
      <c r="K290" s="86">
        <f t="shared" ref="K290" si="104">SQRT(J290^2+J291^2+J292^2)</f>
        <v>2.6935292906225518E-2</v>
      </c>
      <c r="L290" s="48">
        <f>IF('Zed Mini'!G290-'Experimental Procedure'!$D$131&lt;-180,'Zed Mini'!G290-'Experimental Procedure'!$D$131 + 360,IF('Zed Mini'!G290-'Experimental Procedure'!$D$131&gt;180,'Zed Mini'!G290-'Experimental Procedure'!$D$131 - 360,'Zed Mini'!G290-'Experimental Procedure'!$D$131))</f>
        <v>-1.2153351666666634</v>
      </c>
      <c r="M290" s="106">
        <f t="shared" ref="M290" si="105">(M131+M184+M237)/3</f>
        <v>7.4147194656896636</v>
      </c>
      <c r="N290" s="51" t="str">
        <f>IF('Experimental Procedure'!$E$131=0,"NaN",J290/'Experimental Procedure'!$E$131*100)</f>
        <v>NaN</v>
      </c>
      <c r="O290" s="92" t="str">
        <f>IF('Experimental Procedure'!$G$131=0,"NaN",'Zed Mini'!K290/'Experimental Procedure'!$G$131*100)</f>
        <v>NaN</v>
      </c>
      <c r="P290" s="51" t="str">
        <f>IF('Experimental Procedure'!$F$131=0,"NaN",L290/'Experimental Procedure'!$F$131*100)</f>
        <v>NaN</v>
      </c>
      <c r="Q290" s="109">
        <f>IF('Experimental Procedure'!$H$131=0,"NaN",'Zed Mini'!M290/'Experimental Procedure'!$H$131*100)</f>
        <v>8.2385771840996274</v>
      </c>
    </row>
    <row r="291" spans="4:17" x14ac:dyDescent="0.25">
      <c r="D291" s="84"/>
      <c r="E291" s="9" t="s">
        <v>135</v>
      </c>
      <c r="F291" s="19">
        <f t="shared" si="80"/>
        <v>1.402399</v>
      </c>
      <c r="G291" s="49">
        <f t="shared" si="81"/>
        <v>-0.50184460000000142</v>
      </c>
      <c r="H291" s="87"/>
      <c r="I291" s="90"/>
      <c r="J291" s="19">
        <f>'Zed Mini'!F291-'Experimental Procedure'!$C$132</f>
        <v>2.39900000000004E-3</v>
      </c>
      <c r="K291" s="87"/>
      <c r="L291" s="49">
        <f>IF('Zed Mini'!G291-'Experimental Procedure'!$D$132&lt;-180,'Zed Mini'!G291-'Experimental Procedure'!$D$132 + 360,IF('Zed Mini'!G291-'Experimental Procedure'!$D$132&gt;180,'Zed Mini'!G291-'Experimental Procedure'!$D$132 - 360,'Zed Mini'!G291-'Experimental Procedure'!$D$132))</f>
        <v>-0.50184460000000142</v>
      </c>
      <c r="M291" s="107"/>
      <c r="N291" s="52" t="str">
        <f>IF('Experimental Procedure'!$E$132=0,"NaN",J291/'Experimental Procedure'!$E$132*100)</f>
        <v>NaN</v>
      </c>
      <c r="O291" s="93"/>
      <c r="P291" s="52">
        <f>IF('Experimental Procedure'!$F$132=0,"NaN",L291/'Experimental Procedure'!$F$132*100)</f>
        <v>-0.55760511111111266</v>
      </c>
      <c r="Q291" s="110"/>
    </row>
    <row r="292" spans="4:17" ht="15.75" thickBot="1" x14ac:dyDescent="0.3">
      <c r="D292" s="85"/>
      <c r="E292" s="10" t="s">
        <v>136</v>
      </c>
      <c r="F292" s="21">
        <f t="shared" si="80"/>
        <v>-1.0836451333333335E-2</v>
      </c>
      <c r="G292" s="50">
        <f t="shared" si="81"/>
        <v>6.017663999999999</v>
      </c>
      <c r="H292" s="88"/>
      <c r="I292" s="91"/>
      <c r="J292" s="21">
        <f>'Zed Mini'!F292-'Experimental Procedure'!$C$133</f>
        <v>-1.0836451333333335E-2</v>
      </c>
      <c r="K292" s="88"/>
      <c r="L292" s="50">
        <f>IF('Zed Mini'!G292-'Experimental Procedure'!$D$133&lt;-180,'Zed Mini'!G292-'Experimental Procedure'!$D$133 + 360,IF('Zed Mini'!G292-'Experimental Procedure'!$D$133&gt;180,'Zed Mini'!G292-'Experimental Procedure'!$D$133 - 360,'Zed Mini'!G292-'Experimental Procedure'!$D$133))</f>
        <v>6.017663999999999</v>
      </c>
      <c r="M292" s="108"/>
      <c r="N292" s="53" t="str">
        <f>IF('Experimental Procedure'!$E$133=0,"NaN",J292/'Experimental Procedure'!$E$133*100)</f>
        <v>NaN</v>
      </c>
      <c r="O292" s="94"/>
      <c r="P292" s="53" t="str">
        <f>IF('Experimental Procedure'!$F$133=0,"NaN",L292/'Experimental Procedure'!$F$133*100)</f>
        <v>NaN</v>
      </c>
      <c r="Q292" s="111"/>
    </row>
    <row r="293" spans="4:17" x14ac:dyDescent="0.25">
      <c r="D293" s="72" t="s">
        <v>189</v>
      </c>
      <c r="E293" s="8" t="s">
        <v>134</v>
      </c>
      <c r="F293" s="17">
        <f t="shared" si="80"/>
        <v>5.986618</v>
      </c>
      <c r="G293" s="48">
        <f t="shared" si="81"/>
        <v>-0.84192957333333795</v>
      </c>
      <c r="H293" s="86">
        <f>SQRT((F290-F293)^2+(F291-F294)^2+(F292-F295)^2)</f>
        <v>3.9567269819037598</v>
      </c>
      <c r="I293" s="89">
        <f t="shared" ref="I293" si="106">(I134+I187+I240)/3</f>
        <v>4.1573146958507294</v>
      </c>
      <c r="J293" s="17">
        <f>'Zed Mini'!F293-'Experimental Procedure'!$C$110</f>
        <v>-1.3382000000000005E-2</v>
      </c>
      <c r="K293" s="86">
        <f t="shared" ref="K293" si="107">SQRT(J293^2+J294^2+J295^2)</f>
        <v>0.12130127156427965</v>
      </c>
      <c r="L293" s="48">
        <f>IF('Zed Mini'!G293-'Experimental Procedure'!$D$110&lt;-180,'Zed Mini'!G293-'Experimental Procedure'!$D$110 + 360,IF('Zed Mini'!G293-'Experimental Procedure'!$D$110&gt;180,'Zed Mini'!G293-'Experimental Procedure'!$D$110 - 360,'Zed Mini'!G293-'Experimental Procedure'!$D$110))</f>
        <v>-0.84192957333333795</v>
      </c>
      <c r="M293" s="106">
        <f t="shared" ref="M293" si="108">(M134+M187+M240)/3</f>
        <v>5.0211149017631742</v>
      </c>
      <c r="N293" s="51" t="str">
        <f>IF('Experimental Procedure'!$E$110=0,"NaN",J293/'Experimental Procedure'!$E$110*100)</f>
        <v>NaN</v>
      </c>
      <c r="O293" s="92">
        <f>IF('Experimental Procedure'!$G$110=0,"NaN",'Zed Mini'!K293/'Experimental Procedure'!$G$110*100)</f>
        <v>3.0325317891069914</v>
      </c>
      <c r="P293" s="51" t="str">
        <f>IF('Experimental Procedure'!$F$110=0,"NaN",L293/'Experimental Procedure'!$F$110*100)</f>
        <v>NaN</v>
      </c>
      <c r="Q293" s="109" t="str">
        <f>IF('Experimental Procedure'!$H$110=0,"NaN",'Zed Mini'!M293/'Experimental Procedure'!$H$110*100)</f>
        <v>NaN</v>
      </c>
    </row>
    <row r="294" spans="4:17" x14ac:dyDescent="0.25">
      <c r="D294" s="73"/>
      <c r="E294" s="9" t="s">
        <v>135</v>
      </c>
      <c r="F294" s="19">
        <f t="shared" si="80"/>
        <v>1.5070220000000001</v>
      </c>
      <c r="G294" s="49">
        <f t="shared" si="81"/>
        <v>-1.8619333333333354</v>
      </c>
      <c r="H294" s="87"/>
      <c r="I294" s="90"/>
      <c r="J294" s="19">
        <f>'Zed Mini'!F294-'Experimental Procedure'!$C$111</f>
        <v>0.10702200000000017</v>
      </c>
      <c r="K294" s="87"/>
      <c r="L294" s="49">
        <f>IF('Zed Mini'!G294-'Experimental Procedure'!$D$111&lt;-180,'Zed Mini'!G294-'Experimental Procedure'!$D$111 + 360,IF('Zed Mini'!G294-'Experimental Procedure'!$D$111&gt;180,'Zed Mini'!G294-'Experimental Procedure'!$D$111 - 360,'Zed Mini'!G294-'Experimental Procedure'!$D$111))</f>
        <v>-1.8619333333333354</v>
      </c>
      <c r="M294" s="107"/>
      <c r="N294" s="52" t="str">
        <f>IF('Experimental Procedure'!$E$111=0,"NaN",J294/'Experimental Procedure'!$E$111*100)</f>
        <v>NaN</v>
      </c>
      <c r="O294" s="93"/>
      <c r="P294" s="52" t="str">
        <f>IF('Experimental Procedure'!$F$111=0,"NaN",L294/'Experimental Procedure'!$F$111*100)</f>
        <v>NaN</v>
      </c>
      <c r="Q294" s="110"/>
    </row>
    <row r="295" spans="4:17" ht="15.75" thickBot="1" x14ac:dyDescent="0.3">
      <c r="D295" s="74"/>
      <c r="E295" s="10" t="s">
        <v>136</v>
      </c>
      <c r="F295" s="21">
        <f t="shared" si="80"/>
        <v>3.9444913333333336</v>
      </c>
      <c r="G295" s="50">
        <f t="shared" si="81"/>
        <v>3.9006871263333331</v>
      </c>
      <c r="H295" s="88"/>
      <c r="I295" s="91"/>
      <c r="J295" s="21">
        <f>'Zed Mini'!F295-'Experimental Procedure'!$C$112</f>
        <v>-5.5508666666666429E-2</v>
      </c>
      <c r="K295" s="88"/>
      <c r="L295" s="50">
        <f>IF('Zed Mini'!G295-'Experimental Procedure'!$D$112&lt;-180,'Zed Mini'!G295-'Experimental Procedure'!$D$112 + 360,IF('Zed Mini'!G295-'Experimental Procedure'!$D$112&gt;180,'Zed Mini'!G295-'Experimental Procedure'!$D$112 - 360,'Zed Mini'!G295-'Experimental Procedure'!$D$112))</f>
        <v>3.9006871263333331</v>
      </c>
      <c r="M295" s="108"/>
      <c r="N295" s="53">
        <f>IF('Experimental Procedure'!$E$112=0,"NaN",J295/'Experimental Procedure'!$E$112*100)</f>
        <v>-1.3877166666666607</v>
      </c>
      <c r="O295" s="94"/>
      <c r="P295" s="53" t="str">
        <f>IF('Experimental Procedure'!$F$112=0,"NaN",L295/'Experimental Procedure'!$F$112*100)</f>
        <v>NaN</v>
      </c>
      <c r="Q295" s="111"/>
    </row>
    <row r="296" spans="4:17" x14ac:dyDescent="0.25">
      <c r="D296" s="72" t="s">
        <v>191</v>
      </c>
      <c r="E296" s="8" t="s">
        <v>134</v>
      </c>
      <c r="F296" s="17">
        <f t="shared" si="80"/>
        <v>5.879748666666667</v>
      </c>
      <c r="G296" s="48">
        <f t="shared" si="81"/>
        <v>1.2785766333333333</v>
      </c>
      <c r="H296" s="86">
        <f>SQRT((F293-F296)^2+(F294-F297)^2+(F295-F298)^2)</f>
        <v>0.19751172980104276</v>
      </c>
      <c r="I296" s="89">
        <f t="shared" ref="I296" si="109">(I137+I190+I243)/3</f>
        <v>89.235307229851671</v>
      </c>
      <c r="J296" s="17">
        <f>'Zed Mini'!F296-'Experimental Procedure'!$C$113</f>
        <v>-0.12025133333333304</v>
      </c>
      <c r="K296" s="86">
        <f t="shared" ref="K296" si="110">SQRT(J296^2+J297^2+J298^2)</f>
        <v>0.27948231836120802</v>
      </c>
      <c r="L296" s="48">
        <f>IF('Zed Mini'!G296-'Experimental Procedure'!$D$113&lt;-180,'Zed Mini'!G296-'Experimental Procedure'!$D$113 + 360,IF('Zed Mini'!G296-'Experimental Procedure'!$D$113&gt;180,'Zed Mini'!G296-'Experimental Procedure'!$D$113 - 360,'Zed Mini'!G296-'Experimental Procedure'!$D$113))</f>
        <v>1.2785766333333333</v>
      </c>
      <c r="M296" s="106">
        <f t="shared" ref="M296" si="111">(M137+M190+M243)/3</f>
        <v>6.1998592083887702</v>
      </c>
      <c r="N296" s="51" t="str">
        <f>IF('Experimental Procedure'!$E$113=0,"NaN",J296/'Experimental Procedure'!$E$113*100)</f>
        <v>NaN</v>
      </c>
      <c r="O296" s="92" t="str">
        <f>IF('Experimental Procedure'!$G$113=0,"NaN",'Zed Mini'!K296/'Experimental Procedure'!$G$113*100)</f>
        <v>NaN</v>
      </c>
      <c r="P296" s="51" t="str">
        <f>IF('Experimental Procedure'!$F$113=0,"NaN",L296/'Experimental Procedure'!$F$113*100)</f>
        <v>NaN</v>
      </c>
      <c r="Q296" s="109">
        <f>IF('Experimental Procedure'!$H$113=0,"NaN",'Zed Mini'!M296/'Experimental Procedure'!$H$113*100)</f>
        <v>6.8887324537653001</v>
      </c>
    </row>
    <row r="297" spans="4:17" x14ac:dyDescent="0.25">
      <c r="D297" s="73"/>
      <c r="E297" s="9" t="s">
        <v>135</v>
      </c>
      <c r="F297" s="19">
        <f t="shared" si="80"/>
        <v>1.5217756666666666</v>
      </c>
      <c r="G297" s="49">
        <f t="shared" si="81"/>
        <v>-91.019266666666667</v>
      </c>
      <c r="H297" s="87"/>
      <c r="I297" s="90"/>
      <c r="J297" s="19">
        <f>'Zed Mini'!F297-'Experimental Procedure'!$C$114</f>
        <v>0.12177566666666673</v>
      </c>
      <c r="K297" s="87"/>
      <c r="L297" s="49">
        <f>IF('Zed Mini'!G297-'Experimental Procedure'!$D$114&lt;-180,'Zed Mini'!G297-'Experimental Procedure'!$D$114 + 360,IF('Zed Mini'!G297-'Experimental Procedure'!$D$114&gt;180,'Zed Mini'!G297-'Experimental Procedure'!$D$114 - 360,'Zed Mini'!G297-'Experimental Procedure'!$D$114))</f>
        <v>-1.019266666666681</v>
      </c>
      <c r="M297" s="107"/>
      <c r="N297" s="52" t="str">
        <f>IF('Experimental Procedure'!$E$114=0,"NaN",J297/'Experimental Procedure'!$E$114*100)</f>
        <v>NaN</v>
      </c>
      <c r="O297" s="93"/>
      <c r="P297" s="52">
        <f>IF('Experimental Procedure'!$F$114=0,"NaN",L297/'Experimental Procedure'!$F$114*100)</f>
        <v>-1.1325185185185345</v>
      </c>
      <c r="Q297" s="110"/>
    </row>
    <row r="298" spans="4:17" ht="15.75" thickBot="1" x14ac:dyDescent="0.3">
      <c r="D298" s="74"/>
      <c r="E298" s="10" t="s">
        <v>136</v>
      </c>
      <c r="F298" s="21">
        <f t="shared" si="80"/>
        <v>3.7790459999999997</v>
      </c>
      <c r="G298" s="50">
        <f t="shared" si="81"/>
        <v>5.2655799999999999</v>
      </c>
      <c r="H298" s="88"/>
      <c r="I298" s="91"/>
      <c r="J298" s="21">
        <f>'Zed Mini'!F298-'Experimental Procedure'!$C$115</f>
        <v>-0.22095400000000032</v>
      </c>
      <c r="K298" s="88"/>
      <c r="L298" s="50">
        <f>IF('Zed Mini'!G298-'Experimental Procedure'!$D$115&lt;-180,'Zed Mini'!G298-'Experimental Procedure'!$D$115 + 360,IF('Zed Mini'!G298-'Experimental Procedure'!$D$115&gt;180,'Zed Mini'!G298-'Experimental Procedure'!$D$115 - 360,'Zed Mini'!G298-'Experimental Procedure'!$D$115))</f>
        <v>5.2655799999999999</v>
      </c>
      <c r="M298" s="108"/>
      <c r="N298" s="53" t="str">
        <f>IF('Experimental Procedure'!$E$115=0,"NaN",J298/'Experimental Procedure'!$E$115*100)</f>
        <v>NaN</v>
      </c>
      <c r="O298" s="94"/>
      <c r="P298" s="53" t="str">
        <f>IF('Experimental Procedure'!$F$115=0,"NaN",L298/'Experimental Procedure'!$F$115*100)</f>
        <v>NaN</v>
      </c>
      <c r="Q298" s="111"/>
    </row>
    <row r="299" spans="4:17" x14ac:dyDescent="0.25">
      <c r="D299" s="72" t="s">
        <v>188</v>
      </c>
      <c r="E299" s="8" t="s">
        <v>134</v>
      </c>
      <c r="F299" s="17">
        <f t="shared" si="80"/>
        <v>1.2113658999999999</v>
      </c>
      <c r="G299" s="48">
        <f t="shared" si="81"/>
        <v>2.2695636666666665</v>
      </c>
      <c r="H299" s="86">
        <f>SQRT((F296-F299)^2+(F297-F300)^2+(F298-F301)^2)</f>
        <v>4.6985169067225403</v>
      </c>
      <c r="I299" s="89">
        <f t="shared" ref="I299" si="112">(I140+I193+I246)/3</f>
        <v>4.4777672047144783</v>
      </c>
      <c r="J299" s="17">
        <f>'Zed Mini'!F299-'Experimental Procedure'!$C$116</f>
        <v>1.2113658999999999</v>
      </c>
      <c r="K299" s="86">
        <f t="shared" ref="K299" si="113">SQRT(J299^2+J300^2+J301^2)</f>
        <v>1.4245571558885428</v>
      </c>
      <c r="L299" s="48">
        <f>IF('Zed Mini'!G299-'Experimental Procedure'!$D$116&lt;-180,'Zed Mini'!G299-'Experimental Procedure'!$D$116 + 360,IF('Zed Mini'!G299-'Experimental Procedure'!$D$116&gt;180,'Zed Mini'!G299-'Experimental Procedure'!$D$116 - 360,'Zed Mini'!G299-'Experimental Procedure'!$D$116))</f>
        <v>2.2695636666666665</v>
      </c>
      <c r="M299" s="106">
        <f t="shared" ref="M299" si="114">(M140+M193+M246)/3</f>
        <v>3.576011786077899</v>
      </c>
      <c r="N299" s="51">
        <f>IF('Experimental Procedure'!$E$116=0,"NaN",J299/'Experimental Procedure'!$E$116*100)</f>
        <v>20.189431666666664</v>
      </c>
      <c r="O299" s="92">
        <f>IF('Experimental Procedure'!$G$116=0,"NaN",'Zed Mini'!K299/'Experimental Procedure'!$G$116*100)</f>
        <v>23.742619264809047</v>
      </c>
      <c r="P299" s="51" t="str">
        <f>IF('Experimental Procedure'!$F$116=0,"NaN",L299/'Experimental Procedure'!$F$116*100)</f>
        <v>NaN</v>
      </c>
      <c r="Q299" s="109" t="str">
        <f>IF('Experimental Procedure'!$H$116=0,"NaN",'Zed Mini'!M299/'Experimental Procedure'!$H$116*100)</f>
        <v>NaN</v>
      </c>
    </row>
    <row r="300" spans="4:17" x14ac:dyDescent="0.25">
      <c r="D300" s="73"/>
      <c r="E300" s="9" t="s">
        <v>135</v>
      </c>
      <c r="F300" s="19">
        <f t="shared" si="80"/>
        <v>2.0039210000000001</v>
      </c>
      <c r="G300" s="49">
        <f t="shared" si="81"/>
        <v>-91.532699999999991</v>
      </c>
      <c r="H300" s="87"/>
      <c r="I300" s="90"/>
      <c r="J300" s="19">
        <f>'Zed Mini'!F300-'Experimental Procedure'!$C$117</f>
        <v>0.60392100000000015</v>
      </c>
      <c r="K300" s="87"/>
      <c r="L300" s="49">
        <f>IF('Zed Mini'!G300-'Experimental Procedure'!$D$117&lt;-180,'Zed Mini'!G300-'Experimental Procedure'!$D$117 + 360,IF('Zed Mini'!G300-'Experimental Procedure'!$D$117&gt;180,'Zed Mini'!G300-'Experimental Procedure'!$D$117 - 360,'Zed Mini'!G300-'Experimental Procedure'!$D$117))</f>
        <v>-1.5326999999999771</v>
      </c>
      <c r="M300" s="107"/>
      <c r="N300" s="52" t="str">
        <f>IF('Experimental Procedure'!$E$117=0,"NaN",J300/'Experimental Procedure'!$E$117*100)</f>
        <v>NaN</v>
      </c>
      <c r="O300" s="93"/>
      <c r="P300" s="52" t="str">
        <f>IF('Experimental Procedure'!$F$117=0,"NaN",L300/'Experimental Procedure'!$F$117*100)</f>
        <v>NaN</v>
      </c>
      <c r="Q300" s="110"/>
    </row>
    <row r="301" spans="4:17" ht="15.75" thickBot="1" x14ac:dyDescent="0.3">
      <c r="D301" s="74"/>
      <c r="E301" s="10" t="s">
        <v>136</v>
      </c>
      <c r="F301" s="21">
        <f t="shared" si="80"/>
        <v>3.5558883333333333</v>
      </c>
      <c r="G301" s="50">
        <f t="shared" si="81"/>
        <v>1.8964723333333342</v>
      </c>
      <c r="H301" s="88"/>
      <c r="I301" s="91"/>
      <c r="J301" s="21">
        <f>'Zed Mini'!F301-'Experimental Procedure'!$C$118</f>
        <v>-0.44411166666666668</v>
      </c>
      <c r="K301" s="88"/>
      <c r="L301" s="50">
        <f>IF('Zed Mini'!G301-'Experimental Procedure'!$D$118&lt;-180,'Zed Mini'!G301-'Experimental Procedure'!$D$118 + 360,IF('Zed Mini'!G301-'Experimental Procedure'!$D$118&gt;180,'Zed Mini'!G301-'Experimental Procedure'!$D$118 - 360,'Zed Mini'!G301-'Experimental Procedure'!$D$118))</f>
        <v>1.8964723333333342</v>
      </c>
      <c r="M301" s="108"/>
      <c r="N301" s="53" t="str">
        <f>IF('Experimental Procedure'!$E$118=0,"NaN",J301/'Experimental Procedure'!$E$118*100)</f>
        <v>NaN</v>
      </c>
      <c r="O301" s="94"/>
      <c r="P301" s="53" t="str">
        <f>IF('Experimental Procedure'!$F$118=0,"NaN",L301/'Experimental Procedure'!$F$118*100)</f>
        <v>NaN</v>
      </c>
      <c r="Q301" s="111"/>
    </row>
    <row r="302" spans="4:17" x14ac:dyDescent="0.25">
      <c r="D302" s="72" t="s">
        <v>191</v>
      </c>
      <c r="E302" s="8" t="s">
        <v>134</v>
      </c>
      <c r="F302" s="17">
        <f t="shared" si="80"/>
        <v>0.94633719999999999</v>
      </c>
      <c r="G302" s="48">
        <f t="shared" si="81"/>
        <v>3.0470915999999999</v>
      </c>
      <c r="H302" s="86">
        <f>SQRT((F299-F302)^2+(F300-F303)^2+(F301-F304)^2)</f>
        <v>0.30011904444833021</v>
      </c>
      <c r="I302" s="89">
        <f t="shared" ref="I302" si="115">(I143+I196+I249)/3</f>
        <v>91.239918833029719</v>
      </c>
      <c r="J302" s="17">
        <f>'Zed Mini'!F302-'Experimental Procedure'!$C$119</f>
        <v>0.94633719999999999</v>
      </c>
      <c r="K302" s="86">
        <f t="shared" ref="K302" si="116">SQRT(J302^2+J303^2+J304^2)</f>
        <v>1.2567884560853491</v>
      </c>
      <c r="L302" s="48">
        <f>IF('Zed Mini'!G302-'Experimental Procedure'!$D$119&lt;-180,'Zed Mini'!G302-'Experimental Procedure'!$D$119 + 360,IF('Zed Mini'!G302-'Experimental Procedure'!$D$119&gt;180,'Zed Mini'!G302-'Experimental Procedure'!$D$119 - 360,'Zed Mini'!G302-'Experimental Procedure'!$D$119))</f>
        <v>3.0470915999999999</v>
      </c>
      <c r="M302" s="106">
        <f t="shared" ref="M302" si="117">(M143+M196+M249)/3</f>
        <v>4.9412304472856308</v>
      </c>
      <c r="N302" s="51" t="str">
        <f>IF('Experimental Procedure'!$E$119=0,"NaN",J302/'Experimental Procedure'!$E$119*100)</f>
        <v>NaN</v>
      </c>
      <c r="O302" s="92" t="str">
        <f>IF('Experimental Procedure'!$G$119=0,"NaN",'Zed Mini'!K302/'Experimental Procedure'!$G$119*100)</f>
        <v>NaN</v>
      </c>
      <c r="P302" s="51" t="str">
        <f>IF('Experimental Procedure'!$F$119=0,"NaN",L302/'Experimental Procedure'!$F$119*100)</f>
        <v>NaN</v>
      </c>
      <c r="Q302" s="109">
        <f>IF('Experimental Procedure'!$H$119=0,"NaN",'Zed Mini'!M302/'Experimental Procedure'!$H$119*100)</f>
        <v>5.49025605253959</v>
      </c>
    </row>
    <row r="303" spans="4:17" x14ac:dyDescent="0.25">
      <c r="D303" s="73"/>
      <c r="E303" s="9" t="s">
        <v>135</v>
      </c>
      <c r="F303" s="19">
        <f t="shared" si="80"/>
        <v>1.9858156666666666</v>
      </c>
      <c r="G303" s="49">
        <f>AVERAGE(G144,G197,G250)</f>
        <v>177.25366666666665</v>
      </c>
      <c r="H303" s="87"/>
      <c r="I303" s="90"/>
      <c r="J303" s="19">
        <f>'Zed Mini'!F303-'Experimental Procedure'!$C$120</f>
        <v>0.58581566666666673</v>
      </c>
      <c r="K303" s="87"/>
      <c r="L303" s="49">
        <f>IF('Zed Mini'!G303-'Experimental Procedure'!$D$120&lt;-180,'Zed Mini'!G303-'Experimental Procedure'!$D$120 + 360,IF('Zed Mini'!G303-'Experimental Procedure'!$D$120&gt;180,'Zed Mini'!G303-'Experimental Procedure'!$D$120 - 360,'Zed Mini'!G303-'Experimental Procedure'!$D$120))</f>
        <v>-2.7463333333333537</v>
      </c>
      <c r="M303" s="107"/>
      <c r="N303" s="52" t="str">
        <f>IF('Experimental Procedure'!$E$120=0,"NaN",J303/'Experimental Procedure'!$E$120*100)</f>
        <v>NaN</v>
      </c>
      <c r="O303" s="93"/>
      <c r="P303" s="52">
        <f>IF('Experimental Procedure'!$F$120=0,"NaN",L303/'Experimental Procedure'!$F$120*100)</f>
        <v>-3.0514814814815043</v>
      </c>
      <c r="Q303" s="110"/>
    </row>
    <row r="304" spans="4:17" ht="15.75" thickBot="1" x14ac:dyDescent="0.3">
      <c r="D304" s="74"/>
      <c r="E304" s="10" t="s">
        <v>136</v>
      </c>
      <c r="F304" s="21">
        <f t="shared" si="80"/>
        <v>3.4162336666666668</v>
      </c>
      <c r="G304" s="50">
        <f t="shared" si="81"/>
        <v>2.3681403333333333</v>
      </c>
      <c r="H304" s="88"/>
      <c r="I304" s="91"/>
      <c r="J304" s="21">
        <f>'Zed Mini'!F304-'Experimental Procedure'!$C$121</f>
        <v>-0.58376633333333317</v>
      </c>
      <c r="K304" s="88"/>
      <c r="L304" s="50">
        <f>IF('Zed Mini'!G304-'Experimental Procedure'!$D$121&lt;-180,'Zed Mini'!G304-'Experimental Procedure'!$D$121 + 360,IF('Zed Mini'!G304-'Experimental Procedure'!$D$121&gt;180,'Zed Mini'!G304-'Experimental Procedure'!$D$121 - 360,'Zed Mini'!G304-'Experimental Procedure'!$D$121))</f>
        <v>2.3681403333333333</v>
      </c>
      <c r="M304" s="108"/>
      <c r="N304" s="53" t="str">
        <f>IF('Experimental Procedure'!$E$121=0,"NaN",J304/'Experimental Procedure'!$E$121*100)</f>
        <v>NaN</v>
      </c>
      <c r="O304" s="94"/>
      <c r="P304" s="53" t="str">
        <f>IF('Experimental Procedure'!$F$121=0,"NaN",L304/'Experimental Procedure'!$F$121*100)</f>
        <v>NaN</v>
      </c>
      <c r="Q304" s="111"/>
    </row>
    <row r="305" spans="4:17" x14ac:dyDescent="0.25">
      <c r="D305" s="72" t="s">
        <v>190</v>
      </c>
      <c r="E305" s="8" t="s">
        <v>134</v>
      </c>
      <c r="F305" s="17">
        <f t="shared" si="80"/>
        <v>0.99408266666666678</v>
      </c>
      <c r="G305" s="48">
        <f t="shared" si="81"/>
        <v>2.0723373666666665</v>
      </c>
      <c r="H305" s="86">
        <f>SQRT((F302-F305)^2+(F303-F306)^2+(F304-F307)^2)</f>
        <v>2.2874252338339942</v>
      </c>
      <c r="I305" s="89">
        <f t="shared" ref="I305" si="118">(I146+I199+I252)/3</f>
        <v>4.3912761902769013</v>
      </c>
      <c r="J305" s="17">
        <f>'Zed Mini'!F305-'Experimental Procedure'!$C$122</f>
        <v>0.99408266666666678</v>
      </c>
      <c r="K305" s="86">
        <f t="shared" ref="K305" si="119">SQRT(J305^2+J306^2+J307^2)</f>
        <v>1.5493251750538346</v>
      </c>
      <c r="L305" s="48">
        <f>IF('Zed Mini'!G305-'Experimental Procedure'!$D$122&lt;-180,'Zed Mini'!G305-'Experimental Procedure'!$D$122 + 360,IF('Zed Mini'!G305-'Experimental Procedure'!$D$122&gt;180,'Zed Mini'!G305-'Experimental Procedure'!$D$122 - 360,'Zed Mini'!G305-'Experimental Procedure'!$D$122))</f>
        <v>2.0723373666666665</v>
      </c>
      <c r="M305" s="106">
        <f t="shared" ref="M305" si="120">(M146+M199+M252)/3</f>
        <v>3.5366393693947287</v>
      </c>
      <c r="N305" s="51" t="str">
        <f>IF('Experimental Procedure'!$E$122=0,"NaN",J305/'Experimental Procedure'!$E$122*100)</f>
        <v>NaN</v>
      </c>
      <c r="O305" s="92">
        <f>IF('Experimental Procedure'!$G$122=0,"NaN",'Zed Mini'!K305/'Experimental Procedure'!$G$122*100)</f>
        <v>38.733129376345865</v>
      </c>
      <c r="P305" s="51" t="str">
        <f>IF('Experimental Procedure'!$F$122=0,"NaN",L305/'Experimental Procedure'!$F$122*100)</f>
        <v>NaN</v>
      </c>
      <c r="Q305" s="109" t="str">
        <f>IF('Experimental Procedure'!$H$122=0,"NaN",'Zed Mini'!M305/'Experimental Procedure'!$H$122*100)</f>
        <v>NaN</v>
      </c>
    </row>
    <row r="306" spans="4:17" x14ac:dyDescent="0.25">
      <c r="D306" s="73"/>
      <c r="E306" s="9" t="s">
        <v>135</v>
      </c>
      <c r="F306" s="19">
        <f t="shared" si="80"/>
        <v>1.7178956666666665</v>
      </c>
      <c r="G306" s="49">
        <f t="shared" si="81"/>
        <v>-58.763266666666659</v>
      </c>
      <c r="H306" s="87"/>
      <c r="I306" s="90"/>
      <c r="J306" s="19">
        <f>'Zed Mini'!F306-'Experimental Procedure'!$C$123</f>
        <v>0.31789566666666658</v>
      </c>
      <c r="K306" s="87"/>
      <c r="L306" s="49">
        <f>IF('Zed Mini'!G306-'Experimental Procedure'!$D$123&lt;-180,'Zed Mini'!G306-'Experimental Procedure'!$D$123 + 360,IF('Zed Mini'!G306-'Experimental Procedure'!$D$123&gt;180,'Zed Mini'!G306-'Experimental Procedure'!$D$123 - 360,'Zed Mini'!G306-'Experimental Procedure'!$D$123))</f>
        <v>121.23673333333335</v>
      </c>
      <c r="M306" s="107"/>
      <c r="N306" s="52" t="str">
        <f>IF('Experimental Procedure'!$E$123=0,"NaN",J306/'Experimental Procedure'!$E$123*100)</f>
        <v>NaN</v>
      </c>
      <c r="O306" s="93"/>
      <c r="P306" s="52" t="str">
        <f>IF('Experimental Procedure'!$F$123=0,"NaN",L306/'Experimental Procedure'!$F$123*100)</f>
        <v>NaN</v>
      </c>
      <c r="Q306" s="110"/>
    </row>
    <row r="307" spans="4:17" ht="15.75" thickBot="1" x14ac:dyDescent="0.3">
      <c r="D307" s="74"/>
      <c r="E307" s="10" t="s">
        <v>136</v>
      </c>
      <c r="F307" s="21">
        <f t="shared" si="80"/>
        <v>1.1450548</v>
      </c>
      <c r="G307" s="50">
        <f t="shared" si="81"/>
        <v>1.5706726666666653</v>
      </c>
      <c r="H307" s="88"/>
      <c r="I307" s="91"/>
      <c r="J307" s="21">
        <f>'Zed Mini'!F307-'Experimental Procedure'!$C$124</f>
        <v>1.1450548</v>
      </c>
      <c r="K307" s="88"/>
      <c r="L307" s="50">
        <f>IF('Zed Mini'!G307-'Experimental Procedure'!$D$124&lt;-180,'Zed Mini'!G307-'Experimental Procedure'!$D$124 + 360,IF('Zed Mini'!G307-'Experimental Procedure'!$D$124&gt;180,'Zed Mini'!G307-'Experimental Procedure'!$D$124 - 360,'Zed Mini'!G307-'Experimental Procedure'!$D$124))</f>
        <v>1.5706726666666653</v>
      </c>
      <c r="M307" s="108"/>
      <c r="N307" s="53">
        <f>IF('Experimental Procedure'!$E$124=0,"NaN",J307/'Experimental Procedure'!$E$124*100)</f>
        <v>28.626370000000001</v>
      </c>
      <c r="O307" s="94"/>
      <c r="P307" s="53" t="str">
        <f>IF('Experimental Procedure'!$F$124=0,"NaN",L307/'Experimental Procedure'!$F$124*100)</f>
        <v>NaN</v>
      </c>
      <c r="Q307" s="111"/>
    </row>
    <row r="308" spans="4:17" x14ac:dyDescent="0.25">
      <c r="D308" s="72" t="s">
        <v>191</v>
      </c>
      <c r="E308" s="8" t="s">
        <v>134</v>
      </c>
      <c r="F308" s="17">
        <f t="shared" si="80"/>
        <v>1.0425791666666668</v>
      </c>
      <c r="G308" s="48">
        <f t="shared" si="81"/>
        <v>1.5413813333333335</v>
      </c>
      <c r="H308" s="86">
        <f>SQRT((F305-F308)^2+(F306-F309)^2+(F307-F310)^2)</f>
        <v>9.4267800580762701E-2</v>
      </c>
      <c r="I308" s="89">
        <f t="shared" ref="I308" si="121">(I149+I202+I255)/3</f>
        <v>91.918972864681919</v>
      </c>
      <c r="J308" s="17">
        <f>'Zed Mini'!F308-'Experimental Procedure'!$C$125</f>
        <v>1.0425791666666668</v>
      </c>
      <c r="K308" s="86">
        <f t="shared" ref="K308" si="122">SQRT(J308^2+J309^2+J310^2)</f>
        <v>1.6391345069371979</v>
      </c>
      <c r="L308" s="48">
        <f>IF('Zed Mini'!G308-'Experimental Procedure'!$D$125&lt;-180,'Zed Mini'!G308-'Experimental Procedure'!$D$125 + 360,IF('Zed Mini'!G308-'Experimental Procedure'!$D$125&gt;180,'Zed Mini'!G308-'Experimental Procedure'!$D$125 - 360,'Zed Mini'!G308-'Experimental Procedure'!$D$125))</f>
        <v>1.5413813333333335</v>
      </c>
      <c r="M308" s="106">
        <f t="shared" ref="M308" si="123">(M149+M202+M255)/3</f>
        <v>3.1124308115017683</v>
      </c>
      <c r="N308" s="51" t="str">
        <f>IF('Experimental Procedure'!$E$125=0,"NaN",J308/'Experimental Procedure'!$E$125*100)</f>
        <v>NaN</v>
      </c>
      <c r="O308" s="92" t="str">
        <f>IF('Experimental Procedure'!$G$125=0,"NaN",'Zed Mini'!K308/'Experimental Procedure'!$G$125*100)</f>
        <v>NaN</v>
      </c>
      <c r="P308" s="51" t="str">
        <f>IF('Experimental Procedure'!$F$125=0,"NaN",L308/'Experimental Procedure'!$F$125*100)</f>
        <v>NaN</v>
      </c>
      <c r="Q308" s="109">
        <f>IF('Experimental Procedure'!$H$125=0,"NaN",'Zed Mini'!M308/'Experimental Procedure'!$H$125*100)</f>
        <v>3.458256457224187</v>
      </c>
    </row>
    <row r="309" spans="4:17" x14ac:dyDescent="0.25">
      <c r="D309" s="73"/>
      <c r="E309" s="9" t="s">
        <v>135</v>
      </c>
      <c r="F309" s="19">
        <f t="shared" si="80"/>
        <v>1.7122066666666669</v>
      </c>
      <c r="G309" s="49">
        <f t="shared" si="81"/>
        <v>89.346763333333342</v>
      </c>
      <c r="H309" s="87"/>
      <c r="I309" s="90"/>
      <c r="J309" s="19">
        <f>'Zed Mini'!F309-'Experimental Procedure'!$C$126</f>
        <v>0.31220666666666697</v>
      </c>
      <c r="K309" s="87"/>
      <c r="L309" s="49">
        <f>IF('Zed Mini'!G309-'Experimental Procedure'!$D$126&lt;-180,'Zed Mini'!G309-'Experimental Procedure'!$D$126 + 360,IF('Zed Mini'!G309-'Experimental Procedure'!$D$126&gt;180,'Zed Mini'!G309-'Experimental Procedure'!$D$126 - 360,'Zed Mini'!G309-'Experimental Procedure'!$D$126))</f>
        <v>-0.65323666666665758</v>
      </c>
      <c r="M309" s="107"/>
      <c r="N309" s="52" t="str">
        <f>IF('Experimental Procedure'!$E$126=0,"NaN",J309/'Experimental Procedure'!$E$126*100)</f>
        <v>NaN</v>
      </c>
      <c r="O309" s="93"/>
      <c r="P309" s="52">
        <f>IF('Experimental Procedure'!$F$126=0,"NaN",L309/'Experimental Procedure'!$F$126*100)</f>
        <v>-0.72581851851850843</v>
      </c>
      <c r="Q309" s="110"/>
    </row>
    <row r="310" spans="4:17" ht="15.75" thickBot="1" x14ac:dyDescent="0.3">
      <c r="D310" s="74"/>
      <c r="E310" s="10" t="s">
        <v>136</v>
      </c>
      <c r="F310" s="21">
        <f t="shared" si="80"/>
        <v>1.2256906666666667</v>
      </c>
      <c r="G310" s="50">
        <f t="shared" si="81"/>
        <v>2.5615313333333334</v>
      </c>
      <c r="H310" s="88"/>
      <c r="I310" s="91"/>
      <c r="J310" s="21">
        <f>'Zed Mini'!F310-'Experimental Procedure'!$C$127</f>
        <v>1.2256906666666667</v>
      </c>
      <c r="K310" s="88"/>
      <c r="L310" s="50">
        <f>IF('Zed Mini'!G310-'Experimental Procedure'!$D$127&lt;-180,'Zed Mini'!G310-'Experimental Procedure'!$D$127 + 360,IF('Zed Mini'!G310-'Experimental Procedure'!$D$127&gt;180,'Zed Mini'!G310-'Experimental Procedure'!$D$127 - 360,'Zed Mini'!G310-'Experimental Procedure'!$D$127))</f>
        <v>2.5615313333333334</v>
      </c>
      <c r="M310" s="108"/>
      <c r="N310" s="53" t="str">
        <f>IF('Experimental Procedure'!$E$127=0,"NaN",J310/'Experimental Procedure'!$E$127*100)</f>
        <v>NaN</v>
      </c>
      <c r="O310" s="94"/>
      <c r="P310" s="53" t="str">
        <f>IF('Experimental Procedure'!$F$127=0,"NaN",L310/'Experimental Procedure'!$F$127*100)</f>
        <v>NaN</v>
      </c>
      <c r="Q310" s="111"/>
    </row>
    <row r="311" spans="4:17" x14ac:dyDescent="0.25">
      <c r="D311" s="72" t="s">
        <v>180</v>
      </c>
      <c r="E311" s="8" t="s">
        <v>134</v>
      </c>
      <c r="F311" s="17">
        <f t="shared" si="80"/>
        <v>6.7726433333333338</v>
      </c>
      <c r="G311" s="48">
        <f t="shared" si="81"/>
        <v>-1.483033333333329</v>
      </c>
      <c r="H311" s="86">
        <f>SQRT((F308-F311)^2+(F309-F312)^2+(F310-F313)^2)</f>
        <v>5.7850623277777462</v>
      </c>
      <c r="I311" s="89">
        <f t="shared" ref="I311" si="124">(I152+I205+I258)/3</f>
        <v>4.6010675743944329</v>
      </c>
      <c r="J311" s="17">
        <f>'Zed Mini'!F311-'Experimental Procedure'!$C$128</f>
        <v>0.77264333333333379</v>
      </c>
      <c r="K311" s="86">
        <f t="shared" ref="K311" si="125">SQRT(J311^2+J312^2+J313^2)</f>
        <v>1.7919621667356722</v>
      </c>
      <c r="L311" s="48">
        <f>IF('Zed Mini'!G311-'Experimental Procedure'!$D$128&lt;-180,'Zed Mini'!G311-'Experimental Procedure'!$D$128 + 360,IF('Zed Mini'!G311-'Experimental Procedure'!$D$128&gt;180,'Zed Mini'!G311-'Experimental Procedure'!$D$128 - 360,'Zed Mini'!G311-'Experimental Procedure'!$D$128))</f>
        <v>-1.483033333333329</v>
      </c>
      <c r="M311" s="106">
        <f t="shared" ref="M311" si="126">(M152+M205+M258)/3</f>
        <v>3.5323948281860935</v>
      </c>
      <c r="N311" s="51">
        <f>IF('Experimental Procedure'!$E$128=0,"NaN",J311/'Experimental Procedure'!$E$128*100)</f>
        <v>12.877388888888897</v>
      </c>
      <c r="O311" s="92">
        <f>IF('Experimental Procedure'!$G$128=0,"NaN",'Zed Mini'!K311/'Experimental Procedure'!$G$128*100)</f>
        <v>29.866036112261202</v>
      </c>
      <c r="P311" s="51" t="str">
        <f>IF('Experimental Procedure'!$F$128=0,"NaN",L311/'Experimental Procedure'!$F$128*100)</f>
        <v>NaN</v>
      </c>
      <c r="Q311" s="109" t="str">
        <f>IF('Experimental Procedure'!$H$128=0,"NaN",'Zed Mini'!M311/'Experimental Procedure'!$H$128*100)</f>
        <v>NaN</v>
      </c>
    </row>
    <row r="312" spans="4:17" x14ac:dyDescent="0.25">
      <c r="D312" s="73"/>
      <c r="E312" s="9" t="s">
        <v>135</v>
      </c>
      <c r="F312" s="19">
        <f t="shared" si="80"/>
        <v>2.5066310000000001</v>
      </c>
      <c r="G312" s="49">
        <f t="shared" si="81"/>
        <v>91.407343333333316</v>
      </c>
      <c r="H312" s="87"/>
      <c r="I312" s="90"/>
      <c r="J312" s="19">
        <f>'Zed Mini'!F312-'Experimental Procedure'!$C$129</f>
        <v>1.1066310000000001</v>
      </c>
      <c r="K312" s="87"/>
      <c r="L312" s="49">
        <f>IF('Zed Mini'!G312-'Experimental Procedure'!$D$129&lt;-180,'Zed Mini'!G312-'Experimental Procedure'!$D$129 + 360,IF('Zed Mini'!G312-'Experimental Procedure'!$D$129&gt;180,'Zed Mini'!G312-'Experimental Procedure'!$D$129 - 360,'Zed Mini'!G312-'Experimental Procedure'!$D$129))</f>
        <v>1.4073433333333156</v>
      </c>
      <c r="M312" s="107"/>
      <c r="N312" s="52" t="str">
        <f>IF('Experimental Procedure'!$E$129=0,"NaN",J312/'Experimental Procedure'!$E$129*100)</f>
        <v>NaN</v>
      </c>
      <c r="O312" s="93"/>
      <c r="P312" s="52" t="str">
        <f>IF('Experimental Procedure'!$F$129=0,"NaN",L312/'Experimental Procedure'!$F$129*100)</f>
        <v>NaN</v>
      </c>
      <c r="Q312" s="110"/>
    </row>
    <row r="313" spans="4:17" ht="15.75" thickBot="1" x14ac:dyDescent="0.3">
      <c r="D313" s="74"/>
      <c r="E313" s="10" t="s">
        <v>136</v>
      </c>
      <c r="F313" s="21">
        <f t="shared" si="80"/>
        <v>1.1787783999999999</v>
      </c>
      <c r="G313" s="50">
        <f t="shared" si="81"/>
        <v>1.0403477333333264</v>
      </c>
      <c r="H313" s="88"/>
      <c r="I313" s="91"/>
      <c r="J313" s="21">
        <f>'Zed Mini'!F313-'Experimental Procedure'!$C$130</f>
        <v>1.1787783999999999</v>
      </c>
      <c r="K313" s="88"/>
      <c r="L313" s="50">
        <f>IF('Zed Mini'!G313-'Experimental Procedure'!$D$130&lt;-180,'Zed Mini'!G313-'Experimental Procedure'!$D$130 + 360,IF('Zed Mini'!G313-'Experimental Procedure'!$D$130&gt;180,'Zed Mini'!G313-'Experimental Procedure'!$D$130 - 360,'Zed Mini'!G313-'Experimental Procedure'!$D$130))</f>
        <v>1.0403477333333264</v>
      </c>
      <c r="M313" s="108"/>
      <c r="N313" s="53" t="str">
        <f>IF('Experimental Procedure'!$E$130=0,"NaN",J313/'Experimental Procedure'!$E$130*100)</f>
        <v>NaN</v>
      </c>
      <c r="O313" s="94"/>
      <c r="P313" s="53" t="str">
        <f>IF('Experimental Procedure'!$F$130=0,"NaN",L313/'Experimental Procedure'!$F$130*100)</f>
        <v>NaN</v>
      </c>
      <c r="Q313" s="111"/>
    </row>
    <row r="314" spans="4:17" x14ac:dyDescent="0.25">
      <c r="D314" s="83" t="s">
        <v>192</v>
      </c>
      <c r="E314" s="8" t="s">
        <v>134</v>
      </c>
      <c r="F314" s="17">
        <f t="shared" si="80"/>
        <v>6.0146613333333336</v>
      </c>
      <c r="G314" s="48">
        <f t="shared" si="81"/>
        <v>-1.2417004666666671</v>
      </c>
      <c r="H314" s="86">
        <f>SQRT((F311-F314)^2+(F312-F315)^2+(F313-F316)^2)</f>
        <v>1.7799276881108881</v>
      </c>
      <c r="I314" s="89">
        <f t="shared" ref="I314" si="127">(I155+I208+I261)/3</f>
        <v>92.517811375512295</v>
      </c>
      <c r="J314" s="17">
        <f>'Zed Mini'!F314-'Experimental Procedure'!$C$131</f>
        <v>1.4661333333333637E-2</v>
      </c>
      <c r="K314" s="86">
        <f t="shared" ref="K314" si="128">SQRT(J314^2+J315^2+J316^2)</f>
        <v>1.6049462136431106E-2</v>
      </c>
      <c r="L314" s="48">
        <f>IF('Zed Mini'!G314-'Experimental Procedure'!$D$131&lt;-180,'Zed Mini'!G314-'Experimental Procedure'!$D$131 + 360,IF('Zed Mini'!G314-'Experimental Procedure'!$D$131&gt;180,'Zed Mini'!G314-'Experimental Procedure'!$D$131 - 360,'Zed Mini'!G314-'Experimental Procedure'!$D$131))</f>
        <v>-1.2417004666666671</v>
      </c>
      <c r="M314" s="106">
        <f t="shared" ref="M314" si="129">(M155+M208+M261)/3</f>
        <v>4.9387271309541338</v>
      </c>
      <c r="N314" s="51" t="str">
        <f>IF('Experimental Procedure'!$E$131=0,"NaN",J314/'Experimental Procedure'!$E$131*100)</f>
        <v>NaN</v>
      </c>
      <c r="O314" s="92" t="str">
        <f>IF('Experimental Procedure'!$G$131=0,"NaN",'Zed Mini'!K314/'Experimental Procedure'!$G$131*100)</f>
        <v>NaN</v>
      </c>
      <c r="P314" s="51" t="str">
        <f>IF('Experimental Procedure'!$F$131=0,"NaN",L314/'Experimental Procedure'!$F$131*100)</f>
        <v>NaN</v>
      </c>
      <c r="Q314" s="109">
        <f>IF('Experimental Procedure'!$H$131=0,"NaN",'Zed Mini'!M314/'Experimental Procedure'!$H$131*100)</f>
        <v>5.4874745899490387</v>
      </c>
    </row>
    <row r="315" spans="4:17" x14ac:dyDescent="0.25">
      <c r="D315" s="84"/>
      <c r="E315" s="9" t="s">
        <v>135</v>
      </c>
      <c r="F315" s="19">
        <f t="shared" si="80"/>
        <v>1.405413333333333</v>
      </c>
      <c r="G315" s="49">
        <f t="shared" si="81"/>
        <v>-1.134966666666666</v>
      </c>
      <c r="H315" s="87"/>
      <c r="I315" s="90"/>
      <c r="J315" s="19">
        <f>'Zed Mini'!F315-'Experimental Procedure'!$C$132</f>
        <v>5.413333333333048E-3</v>
      </c>
      <c r="K315" s="87"/>
      <c r="L315" s="49">
        <f>IF('Zed Mini'!G315-'Experimental Procedure'!$D$132&lt;-180,'Zed Mini'!G315-'Experimental Procedure'!$D$132 + 360,IF('Zed Mini'!G315-'Experimental Procedure'!$D$132&gt;180,'Zed Mini'!G315-'Experimental Procedure'!$D$132 - 360,'Zed Mini'!G315-'Experimental Procedure'!$D$132))</f>
        <v>-1.134966666666666</v>
      </c>
      <c r="M315" s="107"/>
      <c r="N315" s="52" t="str">
        <f>IF('Experimental Procedure'!$E$132=0,"NaN",J315/'Experimental Procedure'!$E$132*100)</f>
        <v>NaN</v>
      </c>
      <c r="O315" s="93"/>
      <c r="P315" s="52">
        <f>IF('Experimental Procedure'!$F$132=0,"NaN",L315/'Experimental Procedure'!$F$132*100)</f>
        <v>-1.2610740740740733</v>
      </c>
      <c r="Q315" s="110"/>
    </row>
    <row r="316" spans="4:17" ht="15.75" thickBot="1" x14ac:dyDescent="0.3">
      <c r="D316" s="85"/>
      <c r="E316" s="10" t="s">
        <v>136</v>
      </c>
      <c r="F316" s="21">
        <f t="shared" si="80"/>
        <v>3.650529E-3</v>
      </c>
      <c r="G316" s="50">
        <f t="shared" si="81"/>
        <v>3.7239222003333334</v>
      </c>
      <c r="H316" s="88"/>
      <c r="I316" s="91"/>
      <c r="J316" s="21">
        <f>'Zed Mini'!F316-'Experimental Procedure'!$C$133</f>
        <v>3.650529E-3</v>
      </c>
      <c r="K316" s="88"/>
      <c r="L316" s="50">
        <f>IF('Zed Mini'!G316-'Experimental Procedure'!$D$133&lt;-180,'Zed Mini'!G316-'Experimental Procedure'!$D$133 + 360,IF('Zed Mini'!G316-'Experimental Procedure'!$D$133&gt;180,'Zed Mini'!G316-'Experimental Procedure'!$D$133 - 360,'Zed Mini'!G316-'Experimental Procedure'!$D$133))</f>
        <v>3.7239222003333334</v>
      </c>
      <c r="M316" s="108"/>
      <c r="N316" s="53" t="str">
        <f>IF('Experimental Procedure'!$E$133=0,"NaN",J316/'Experimental Procedure'!$E$133*100)</f>
        <v>NaN</v>
      </c>
      <c r="O316" s="94"/>
      <c r="P316" s="53" t="str">
        <f>IF('Experimental Procedure'!$F$133=0,"NaN",L316/'Experimental Procedure'!$F$133*100)</f>
        <v>NaN</v>
      </c>
      <c r="Q316" s="111"/>
    </row>
  </sheetData>
  <sheetProtection selectLockedCells="1" selectUnlockedCells="1"/>
  <mergeCells count="675">
    <mergeCell ref="Q314:Q316"/>
    <mergeCell ref="D314:D316"/>
    <mergeCell ref="H314:H316"/>
    <mergeCell ref="I314:I316"/>
    <mergeCell ref="K314:K316"/>
    <mergeCell ref="M314:M316"/>
    <mergeCell ref="O314:O316"/>
    <mergeCell ref="Q308:Q310"/>
    <mergeCell ref="D311:D313"/>
    <mergeCell ref="H311:H313"/>
    <mergeCell ref="I311:I313"/>
    <mergeCell ref="K311:K313"/>
    <mergeCell ref="M311:M313"/>
    <mergeCell ref="O311:O313"/>
    <mergeCell ref="Q311:Q313"/>
    <mergeCell ref="D308:D310"/>
    <mergeCell ref="H308:H310"/>
    <mergeCell ref="I308:I310"/>
    <mergeCell ref="K308:K310"/>
    <mergeCell ref="M308:M310"/>
    <mergeCell ref="O308:O310"/>
    <mergeCell ref="Q302:Q304"/>
    <mergeCell ref="D305:D307"/>
    <mergeCell ref="H305:H307"/>
    <mergeCell ref="I305:I307"/>
    <mergeCell ref="K305:K307"/>
    <mergeCell ref="M305:M307"/>
    <mergeCell ref="O305:O307"/>
    <mergeCell ref="Q305:Q307"/>
    <mergeCell ref="D302:D304"/>
    <mergeCell ref="H302:H304"/>
    <mergeCell ref="I302:I304"/>
    <mergeCell ref="K302:K304"/>
    <mergeCell ref="M302:M304"/>
    <mergeCell ref="O302:O304"/>
    <mergeCell ref="Q296:Q298"/>
    <mergeCell ref="D299:D301"/>
    <mergeCell ref="H299:H301"/>
    <mergeCell ref="I299:I301"/>
    <mergeCell ref="K299:K301"/>
    <mergeCell ref="M299:M301"/>
    <mergeCell ref="O299:O301"/>
    <mergeCell ref="Q299:Q301"/>
    <mergeCell ref="D296:D298"/>
    <mergeCell ref="H296:H298"/>
    <mergeCell ref="I296:I298"/>
    <mergeCell ref="K296:K298"/>
    <mergeCell ref="M296:M298"/>
    <mergeCell ref="O296:O298"/>
    <mergeCell ref="Q290:Q292"/>
    <mergeCell ref="D293:D295"/>
    <mergeCell ref="H293:H295"/>
    <mergeCell ref="I293:I295"/>
    <mergeCell ref="K293:K295"/>
    <mergeCell ref="M293:M295"/>
    <mergeCell ref="O293:O295"/>
    <mergeCell ref="Q293:Q295"/>
    <mergeCell ref="D290:D292"/>
    <mergeCell ref="H290:H292"/>
    <mergeCell ref="I290:I292"/>
    <mergeCell ref="K290:K292"/>
    <mergeCell ref="M290:M292"/>
    <mergeCell ref="O290:O292"/>
    <mergeCell ref="Q284:Q286"/>
    <mergeCell ref="D287:D289"/>
    <mergeCell ref="H287:H289"/>
    <mergeCell ref="I287:I289"/>
    <mergeCell ref="K287:K289"/>
    <mergeCell ref="M287:M289"/>
    <mergeCell ref="O287:O289"/>
    <mergeCell ref="Q287:Q289"/>
    <mergeCell ref="D284:D286"/>
    <mergeCell ref="H284:H286"/>
    <mergeCell ref="I284:I286"/>
    <mergeCell ref="K284:K286"/>
    <mergeCell ref="M284:M286"/>
    <mergeCell ref="O284:O286"/>
    <mergeCell ref="Q278:Q280"/>
    <mergeCell ref="D281:D283"/>
    <mergeCell ref="H281:H283"/>
    <mergeCell ref="I281:I283"/>
    <mergeCell ref="K281:K283"/>
    <mergeCell ref="M281:M283"/>
    <mergeCell ref="O281:O283"/>
    <mergeCell ref="Q281:Q283"/>
    <mergeCell ref="D278:D280"/>
    <mergeCell ref="H278:H280"/>
    <mergeCell ref="I278:I280"/>
    <mergeCell ref="K278:K280"/>
    <mergeCell ref="M278:M280"/>
    <mergeCell ref="O278:O280"/>
    <mergeCell ref="D269:D271"/>
    <mergeCell ref="H269:H271"/>
    <mergeCell ref="I269:I271"/>
    <mergeCell ref="K269:K271"/>
    <mergeCell ref="M269:M271"/>
    <mergeCell ref="O269:O271"/>
    <mergeCell ref="Q269:Q271"/>
    <mergeCell ref="Q272:Q274"/>
    <mergeCell ref="D275:D277"/>
    <mergeCell ref="H275:H277"/>
    <mergeCell ref="I275:I277"/>
    <mergeCell ref="K275:K277"/>
    <mergeCell ref="M275:M277"/>
    <mergeCell ref="O275:O277"/>
    <mergeCell ref="Q275:Q277"/>
    <mergeCell ref="D272:D274"/>
    <mergeCell ref="H272:H274"/>
    <mergeCell ref="I272:I274"/>
    <mergeCell ref="K272:K274"/>
    <mergeCell ref="M272:M274"/>
    <mergeCell ref="O272:O274"/>
    <mergeCell ref="D265:E265"/>
    <mergeCell ref="D266:D268"/>
    <mergeCell ref="H266:H268"/>
    <mergeCell ref="I266:I268"/>
    <mergeCell ref="K266:K268"/>
    <mergeCell ref="M266:M268"/>
    <mergeCell ref="Q258:Q260"/>
    <mergeCell ref="D261:D263"/>
    <mergeCell ref="H261:H263"/>
    <mergeCell ref="I261:I263"/>
    <mergeCell ref="K261:K263"/>
    <mergeCell ref="M261:M263"/>
    <mergeCell ref="O261:O263"/>
    <mergeCell ref="Q261:Q263"/>
    <mergeCell ref="D258:D260"/>
    <mergeCell ref="H258:H260"/>
    <mergeCell ref="I258:I260"/>
    <mergeCell ref="K258:K260"/>
    <mergeCell ref="M258:M260"/>
    <mergeCell ref="O258:O260"/>
    <mergeCell ref="O266:O268"/>
    <mergeCell ref="Q266:Q268"/>
    <mergeCell ref="Q252:Q254"/>
    <mergeCell ref="D255:D257"/>
    <mergeCell ref="H255:H257"/>
    <mergeCell ref="I255:I257"/>
    <mergeCell ref="K255:K257"/>
    <mergeCell ref="M255:M257"/>
    <mergeCell ref="O255:O257"/>
    <mergeCell ref="Q255:Q257"/>
    <mergeCell ref="D252:D254"/>
    <mergeCell ref="H252:H254"/>
    <mergeCell ref="I252:I254"/>
    <mergeCell ref="K252:K254"/>
    <mergeCell ref="M252:M254"/>
    <mergeCell ref="O252:O254"/>
    <mergeCell ref="Q246:Q248"/>
    <mergeCell ref="D249:D251"/>
    <mergeCell ref="H249:H251"/>
    <mergeCell ref="I249:I251"/>
    <mergeCell ref="K249:K251"/>
    <mergeCell ref="M249:M251"/>
    <mergeCell ref="O249:O251"/>
    <mergeCell ref="Q249:Q251"/>
    <mergeCell ref="D246:D248"/>
    <mergeCell ref="H246:H248"/>
    <mergeCell ref="I246:I248"/>
    <mergeCell ref="K246:K248"/>
    <mergeCell ref="M246:M248"/>
    <mergeCell ref="O246:O248"/>
    <mergeCell ref="Q240:Q242"/>
    <mergeCell ref="D243:D245"/>
    <mergeCell ref="H243:H245"/>
    <mergeCell ref="I243:I245"/>
    <mergeCell ref="K243:K245"/>
    <mergeCell ref="M243:M245"/>
    <mergeCell ref="O243:O245"/>
    <mergeCell ref="Q243:Q245"/>
    <mergeCell ref="D240:D242"/>
    <mergeCell ref="H240:H242"/>
    <mergeCell ref="I240:I242"/>
    <mergeCell ref="K240:K242"/>
    <mergeCell ref="M240:M242"/>
    <mergeCell ref="O240:O242"/>
    <mergeCell ref="Q234:Q236"/>
    <mergeCell ref="D237:D239"/>
    <mergeCell ref="H237:H239"/>
    <mergeCell ref="I237:I239"/>
    <mergeCell ref="K237:K239"/>
    <mergeCell ref="M237:M239"/>
    <mergeCell ref="O237:O239"/>
    <mergeCell ref="Q237:Q239"/>
    <mergeCell ref="D234:D236"/>
    <mergeCell ref="H234:H236"/>
    <mergeCell ref="I234:I236"/>
    <mergeCell ref="K234:K236"/>
    <mergeCell ref="M234:M236"/>
    <mergeCell ref="O234:O236"/>
    <mergeCell ref="Q228:Q230"/>
    <mergeCell ref="D231:D233"/>
    <mergeCell ref="H231:H233"/>
    <mergeCell ref="I231:I233"/>
    <mergeCell ref="K231:K233"/>
    <mergeCell ref="M231:M233"/>
    <mergeCell ref="O231:O233"/>
    <mergeCell ref="Q231:Q233"/>
    <mergeCell ref="D228:D230"/>
    <mergeCell ref="H228:H230"/>
    <mergeCell ref="I228:I230"/>
    <mergeCell ref="K228:K230"/>
    <mergeCell ref="M228:M230"/>
    <mergeCell ref="O228:O230"/>
    <mergeCell ref="Q222:Q224"/>
    <mergeCell ref="D225:D227"/>
    <mergeCell ref="H225:H227"/>
    <mergeCell ref="I225:I227"/>
    <mergeCell ref="K225:K227"/>
    <mergeCell ref="M225:M227"/>
    <mergeCell ref="O225:O227"/>
    <mergeCell ref="Q225:Q227"/>
    <mergeCell ref="D222:D224"/>
    <mergeCell ref="H222:H224"/>
    <mergeCell ref="I222:I224"/>
    <mergeCell ref="K222:K224"/>
    <mergeCell ref="M222:M224"/>
    <mergeCell ref="O222:O224"/>
    <mergeCell ref="Q216:Q218"/>
    <mergeCell ref="D219:D221"/>
    <mergeCell ref="H219:H221"/>
    <mergeCell ref="I219:I221"/>
    <mergeCell ref="K219:K221"/>
    <mergeCell ref="M219:M221"/>
    <mergeCell ref="O219:O221"/>
    <mergeCell ref="Q219:Q221"/>
    <mergeCell ref="D216:D218"/>
    <mergeCell ref="H216:H218"/>
    <mergeCell ref="I216:I218"/>
    <mergeCell ref="K216:K218"/>
    <mergeCell ref="M216:M218"/>
    <mergeCell ref="O216:O218"/>
    <mergeCell ref="Q208:Q210"/>
    <mergeCell ref="D212:E212"/>
    <mergeCell ref="D213:D215"/>
    <mergeCell ref="H213:H215"/>
    <mergeCell ref="I213:I215"/>
    <mergeCell ref="K213:K215"/>
    <mergeCell ref="M213:M215"/>
    <mergeCell ref="O213:O215"/>
    <mergeCell ref="Q213:Q215"/>
    <mergeCell ref="D208:D210"/>
    <mergeCell ref="H208:H210"/>
    <mergeCell ref="I208:I210"/>
    <mergeCell ref="K208:K210"/>
    <mergeCell ref="M208:M210"/>
    <mergeCell ref="O208:O210"/>
    <mergeCell ref="Q202:Q204"/>
    <mergeCell ref="D205:D207"/>
    <mergeCell ref="H205:H207"/>
    <mergeCell ref="I205:I207"/>
    <mergeCell ref="K205:K207"/>
    <mergeCell ref="M205:M207"/>
    <mergeCell ref="O205:O207"/>
    <mergeCell ref="Q205:Q207"/>
    <mergeCell ref="D202:D204"/>
    <mergeCell ref="H202:H204"/>
    <mergeCell ref="I202:I204"/>
    <mergeCell ref="K202:K204"/>
    <mergeCell ref="M202:M204"/>
    <mergeCell ref="O202:O204"/>
    <mergeCell ref="Q196:Q198"/>
    <mergeCell ref="D199:D201"/>
    <mergeCell ref="H199:H201"/>
    <mergeCell ref="I199:I201"/>
    <mergeCell ref="K199:K201"/>
    <mergeCell ref="M199:M201"/>
    <mergeCell ref="O199:O201"/>
    <mergeCell ref="Q199:Q201"/>
    <mergeCell ref="D196:D198"/>
    <mergeCell ref="H196:H198"/>
    <mergeCell ref="I196:I198"/>
    <mergeCell ref="K196:K198"/>
    <mergeCell ref="M196:M198"/>
    <mergeCell ref="O196:O198"/>
    <mergeCell ref="Q190:Q192"/>
    <mergeCell ref="D193:D195"/>
    <mergeCell ref="H193:H195"/>
    <mergeCell ref="I193:I195"/>
    <mergeCell ref="K193:K195"/>
    <mergeCell ref="M193:M195"/>
    <mergeCell ref="O193:O195"/>
    <mergeCell ref="Q193:Q195"/>
    <mergeCell ref="D190:D192"/>
    <mergeCell ref="H190:H192"/>
    <mergeCell ref="I190:I192"/>
    <mergeCell ref="K190:K192"/>
    <mergeCell ref="M190:M192"/>
    <mergeCell ref="O190:O192"/>
    <mergeCell ref="Q184:Q186"/>
    <mergeCell ref="D187:D189"/>
    <mergeCell ref="H187:H189"/>
    <mergeCell ref="I187:I189"/>
    <mergeCell ref="K187:K189"/>
    <mergeCell ref="M187:M189"/>
    <mergeCell ref="O187:O189"/>
    <mergeCell ref="Q187:Q189"/>
    <mergeCell ref="D184:D186"/>
    <mergeCell ref="H184:H186"/>
    <mergeCell ref="I184:I186"/>
    <mergeCell ref="K184:K186"/>
    <mergeCell ref="M184:M186"/>
    <mergeCell ref="O184:O186"/>
    <mergeCell ref="Q178:Q180"/>
    <mergeCell ref="D181:D183"/>
    <mergeCell ref="H181:H183"/>
    <mergeCell ref="I181:I183"/>
    <mergeCell ref="K181:K183"/>
    <mergeCell ref="M181:M183"/>
    <mergeCell ref="O181:O183"/>
    <mergeCell ref="Q181:Q183"/>
    <mergeCell ref="D178:D180"/>
    <mergeCell ref="H178:H180"/>
    <mergeCell ref="I178:I180"/>
    <mergeCell ref="K178:K180"/>
    <mergeCell ref="M178:M180"/>
    <mergeCell ref="O178:O180"/>
    <mergeCell ref="Q172:Q174"/>
    <mergeCell ref="D175:D177"/>
    <mergeCell ref="H175:H177"/>
    <mergeCell ref="I175:I177"/>
    <mergeCell ref="K175:K177"/>
    <mergeCell ref="M175:M177"/>
    <mergeCell ref="O175:O177"/>
    <mergeCell ref="Q175:Q177"/>
    <mergeCell ref="D172:D174"/>
    <mergeCell ref="H172:H174"/>
    <mergeCell ref="I172:I174"/>
    <mergeCell ref="K172:K174"/>
    <mergeCell ref="M172:M174"/>
    <mergeCell ref="O172:O174"/>
    <mergeCell ref="D163:D165"/>
    <mergeCell ref="H163:H165"/>
    <mergeCell ref="I163:I165"/>
    <mergeCell ref="K163:K165"/>
    <mergeCell ref="M163:M165"/>
    <mergeCell ref="O163:O165"/>
    <mergeCell ref="Q163:Q165"/>
    <mergeCell ref="Q166:Q168"/>
    <mergeCell ref="D169:D171"/>
    <mergeCell ref="H169:H171"/>
    <mergeCell ref="I169:I171"/>
    <mergeCell ref="K169:K171"/>
    <mergeCell ref="M169:M171"/>
    <mergeCell ref="O169:O171"/>
    <mergeCell ref="Q169:Q171"/>
    <mergeCell ref="D166:D168"/>
    <mergeCell ref="H166:H168"/>
    <mergeCell ref="I166:I168"/>
    <mergeCell ref="K166:K168"/>
    <mergeCell ref="M166:M168"/>
    <mergeCell ref="O166:O168"/>
    <mergeCell ref="D159:E159"/>
    <mergeCell ref="D160:D162"/>
    <mergeCell ref="H160:H162"/>
    <mergeCell ref="I160:I162"/>
    <mergeCell ref="K160:K162"/>
    <mergeCell ref="M160:M162"/>
    <mergeCell ref="Q152:Q154"/>
    <mergeCell ref="D155:D157"/>
    <mergeCell ref="H155:H157"/>
    <mergeCell ref="I155:I157"/>
    <mergeCell ref="K155:K157"/>
    <mergeCell ref="M155:M157"/>
    <mergeCell ref="O155:O157"/>
    <mergeCell ref="Q155:Q157"/>
    <mergeCell ref="D152:D154"/>
    <mergeCell ref="H152:H154"/>
    <mergeCell ref="I152:I154"/>
    <mergeCell ref="K152:K154"/>
    <mergeCell ref="M152:M154"/>
    <mergeCell ref="O152:O154"/>
    <mergeCell ref="O160:O162"/>
    <mergeCell ref="Q160:Q162"/>
    <mergeCell ref="Q146:Q148"/>
    <mergeCell ref="D149:D151"/>
    <mergeCell ref="H149:H151"/>
    <mergeCell ref="I149:I151"/>
    <mergeCell ref="K149:K151"/>
    <mergeCell ref="M149:M151"/>
    <mergeCell ref="O149:O151"/>
    <mergeCell ref="Q149:Q151"/>
    <mergeCell ref="D146:D148"/>
    <mergeCell ref="H146:H148"/>
    <mergeCell ref="I146:I148"/>
    <mergeCell ref="K146:K148"/>
    <mergeCell ref="M146:M148"/>
    <mergeCell ref="O146:O148"/>
    <mergeCell ref="Q140:Q142"/>
    <mergeCell ref="D143:D145"/>
    <mergeCell ref="H143:H145"/>
    <mergeCell ref="I143:I145"/>
    <mergeCell ref="K143:K145"/>
    <mergeCell ref="M143:M145"/>
    <mergeCell ref="O143:O145"/>
    <mergeCell ref="Q143:Q145"/>
    <mergeCell ref="D140:D142"/>
    <mergeCell ref="H140:H142"/>
    <mergeCell ref="I140:I142"/>
    <mergeCell ref="K140:K142"/>
    <mergeCell ref="M140:M142"/>
    <mergeCell ref="O140:O142"/>
    <mergeCell ref="Q134:Q136"/>
    <mergeCell ref="D137:D139"/>
    <mergeCell ref="H137:H139"/>
    <mergeCell ref="I137:I139"/>
    <mergeCell ref="K137:K139"/>
    <mergeCell ref="M137:M139"/>
    <mergeCell ref="O137:O139"/>
    <mergeCell ref="Q137:Q139"/>
    <mergeCell ref="D134:D136"/>
    <mergeCell ref="H134:H136"/>
    <mergeCell ref="I134:I136"/>
    <mergeCell ref="K134:K136"/>
    <mergeCell ref="M134:M136"/>
    <mergeCell ref="O134:O136"/>
    <mergeCell ref="Q128:Q130"/>
    <mergeCell ref="D131:D133"/>
    <mergeCell ref="H131:H133"/>
    <mergeCell ref="I131:I133"/>
    <mergeCell ref="K131:K133"/>
    <mergeCell ref="M131:M133"/>
    <mergeCell ref="O131:O133"/>
    <mergeCell ref="Q131:Q133"/>
    <mergeCell ref="D128:D130"/>
    <mergeCell ref="H128:H130"/>
    <mergeCell ref="I128:I130"/>
    <mergeCell ref="K128:K130"/>
    <mergeCell ref="M128:M130"/>
    <mergeCell ref="O128:O130"/>
    <mergeCell ref="Q122:Q124"/>
    <mergeCell ref="D125:D127"/>
    <mergeCell ref="H125:H127"/>
    <mergeCell ref="I125:I127"/>
    <mergeCell ref="K125:K127"/>
    <mergeCell ref="M125:M127"/>
    <mergeCell ref="O125:O127"/>
    <mergeCell ref="Q125:Q127"/>
    <mergeCell ref="D122:D124"/>
    <mergeCell ref="H122:H124"/>
    <mergeCell ref="I122:I124"/>
    <mergeCell ref="K122:K124"/>
    <mergeCell ref="M122:M124"/>
    <mergeCell ref="O122:O124"/>
    <mergeCell ref="Q116:Q118"/>
    <mergeCell ref="D119:D121"/>
    <mergeCell ref="H119:H121"/>
    <mergeCell ref="I119:I121"/>
    <mergeCell ref="K119:K121"/>
    <mergeCell ref="M119:M121"/>
    <mergeCell ref="O119:O121"/>
    <mergeCell ref="Q119:Q121"/>
    <mergeCell ref="D116:D118"/>
    <mergeCell ref="H116:H118"/>
    <mergeCell ref="I116:I118"/>
    <mergeCell ref="K116:K118"/>
    <mergeCell ref="M116:M118"/>
    <mergeCell ref="O116:O118"/>
    <mergeCell ref="Q110:Q112"/>
    <mergeCell ref="D113:D115"/>
    <mergeCell ref="H113:H115"/>
    <mergeCell ref="I113:I115"/>
    <mergeCell ref="K113:K115"/>
    <mergeCell ref="M113:M115"/>
    <mergeCell ref="O113:O115"/>
    <mergeCell ref="Q113:Q115"/>
    <mergeCell ref="D110:D112"/>
    <mergeCell ref="H110:H112"/>
    <mergeCell ref="I110:I112"/>
    <mergeCell ref="K110:K112"/>
    <mergeCell ref="M110:M112"/>
    <mergeCell ref="O110:O112"/>
    <mergeCell ref="Q101:Q103"/>
    <mergeCell ref="D106:E106"/>
    <mergeCell ref="D107:D109"/>
    <mergeCell ref="H107:H109"/>
    <mergeCell ref="I107:I109"/>
    <mergeCell ref="K107:K109"/>
    <mergeCell ref="M107:M109"/>
    <mergeCell ref="O107:O109"/>
    <mergeCell ref="Q107:Q109"/>
    <mergeCell ref="D101:D103"/>
    <mergeCell ref="H101:H103"/>
    <mergeCell ref="I101:I103"/>
    <mergeCell ref="K101:K103"/>
    <mergeCell ref="M101:M103"/>
    <mergeCell ref="O101:O103"/>
    <mergeCell ref="D92:D94"/>
    <mergeCell ref="H92:H94"/>
    <mergeCell ref="I92:I94"/>
    <mergeCell ref="K92:K94"/>
    <mergeCell ref="M92:M94"/>
    <mergeCell ref="O92:O94"/>
    <mergeCell ref="Q92:Q94"/>
    <mergeCell ref="Q95:Q97"/>
    <mergeCell ref="D98:D100"/>
    <mergeCell ref="H98:H100"/>
    <mergeCell ref="I98:I100"/>
    <mergeCell ref="K98:K100"/>
    <mergeCell ref="M98:M100"/>
    <mergeCell ref="O98:O100"/>
    <mergeCell ref="Q98:Q100"/>
    <mergeCell ref="D95:D97"/>
    <mergeCell ref="H95:H97"/>
    <mergeCell ref="I95:I97"/>
    <mergeCell ref="K95:K97"/>
    <mergeCell ref="M95:M97"/>
    <mergeCell ref="O95:O97"/>
    <mergeCell ref="D88:E88"/>
    <mergeCell ref="D89:D91"/>
    <mergeCell ref="H89:H91"/>
    <mergeCell ref="I89:I91"/>
    <mergeCell ref="K89:K91"/>
    <mergeCell ref="M89:M91"/>
    <mergeCell ref="Q81:Q83"/>
    <mergeCell ref="D84:D86"/>
    <mergeCell ref="H84:H86"/>
    <mergeCell ref="I84:I86"/>
    <mergeCell ref="K84:K86"/>
    <mergeCell ref="M84:M86"/>
    <mergeCell ref="O84:O86"/>
    <mergeCell ref="Q84:Q86"/>
    <mergeCell ref="D81:D83"/>
    <mergeCell ref="H81:H83"/>
    <mergeCell ref="I81:I83"/>
    <mergeCell ref="K81:K83"/>
    <mergeCell ref="M81:M83"/>
    <mergeCell ref="O81:O83"/>
    <mergeCell ref="O89:O91"/>
    <mergeCell ref="Q89:Q91"/>
    <mergeCell ref="Q75:Q77"/>
    <mergeCell ref="D78:D80"/>
    <mergeCell ref="H78:H80"/>
    <mergeCell ref="I78:I80"/>
    <mergeCell ref="K78:K80"/>
    <mergeCell ref="M78:M80"/>
    <mergeCell ref="O78:O80"/>
    <mergeCell ref="Q78:Q80"/>
    <mergeCell ref="D75:D77"/>
    <mergeCell ref="H75:H77"/>
    <mergeCell ref="I75:I77"/>
    <mergeCell ref="K75:K77"/>
    <mergeCell ref="M75:M77"/>
    <mergeCell ref="O75:O77"/>
    <mergeCell ref="Q67:Q69"/>
    <mergeCell ref="D71:E71"/>
    <mergeCell ref="D72:D74"/>
    <mergeCell ref="H72:H74"/>
    <mergeCell ref="I72:I74"/>
    <mergeCell ref="K72:K74"/>
    <mergeCell ref="M72:M74"/>
    <mergeCell ref="O72:O74"/>
    <mergeCell ref="Q72:Q74"/>
    <mergeCell ref="D67:D69"/>
    <mergeCell ref="H67:H69"/>
    <mergeCell ref="I67:I69"/>
    <mergeCell ref="K67:K69"/>
    <mergeCell ref="M67:M69"/>
    <mergeCell ref="O67:O69"/>
    <mergeCell ref="D58:D60"/>
    <mergeCell ref="H58:H60"/>
    <mergeCell ref="I58:I60"/>
    <mergeCell ref="K58:K60"/>
    <mergeCell ref="M58:M60"/>
    <mergeCell ref="O58:O60"/>
    <mergeCell ref="Q58:Q60"/>
    <mergeCell ref="Q61:Q63"/>
    <mergeCell ref="D64:D66"/>
    <mergeCell ref="H64:H66"/>
    <mergeCell ref="I64:I66"/>
    <mergeCell ref="K64:K66"/>
    <mergeCell ref="M64:M66"/>
    <mergeCell ref="O64:O66"/>
    <mergeCell ref="Q64:Q66"/>
    <mergeCell ref="D61:D63"/>
    <mergeCell ref="H61:H63"/>
    <mergeCell ref="I61:I63"/>
    <mergeCell ref="K61:K63"/>
    <mergeCell ref="M61:M63"/>
    <mergeCell ref="O61:O63"/>
    <mergeCell ref="D54:E54"/>
    <mergeCell ref="D55:D57"/>
    <mergeCell ref="H55:H57"/>
    <mergeCell ref="I55:I57"/>
    <mergeCell ref="K55:K57"/>
    <mergeCell ref="M55:M57"/>
    <mergeCell ref="Q47:Q49"/>
    <mergeCell ref="D50:D52"/>
    <mergeCell ref="H50:H52"/>
    <mergeCell ref="I50:I52"/>
    <mergeCell ref="K50:K52"/>
    <mergeCell ref="M50:M52"/>
    <mergeCell ref="O50:O52"/>
    <mergeCell ref="Q50:Q52"/>
    <mergeCell ref="D47:D49"/>
    <mergeCell ref="H47:H49"/>
    <mergeCell ref="I47:I49"/>
    <mergeCell ref="K47:K49"/>
    <mergeCell ref="M47:M49"/>
    <mergeCell ref="O47:O49"/>
    <mergeCell ref="O55:O57"/>
    <mergeCell ref="Q55:Q57"/>
    <mergeCell ref="Q41:Q43"/>
    <mergeCell ref="D44:D46"/>
    <mergeCell ref="H44:H46"/>
    <mergeCell ref="I44:I46"/>
    <mergeCell ref="K44:K46"/>
    <mergeCell ref="M44:M46"/>
    <mergeCell ref="O44:O46"/>
    <mergeCell ref="Q44:Q46"/>
    <mergeCell ref="D41:D43"/>
    <mergeCell ref="H41:H43"/>
    <mergeCell ref="I41:I43"/>
    <mergeCell ref="K41:K43"/>
    <mergeCell ref="M41:M43"/>
    <mergeCell ref="O41:O43"/>
    <mergeCell ref="Q31:Q33"/>
    <mergeCell ref="D37:E37"/>
    <mergeCell ref="D38:D40"/>
    <mergeCell ref="H38:H40"/>
    <mergeCell ref="I38:I40"/>
    <mergeCell ref="K38:K40"/>
    <mergeCell ref="M38:M40"/>
    <mergeCell ref="O38:O40"/>
    <mergeCell ref="Q38:Q40"/>
    <mergeCell ref="D31:D33"/>
    <mergeCell ref="H31:H33"/>
    <mergeCell ref="I31:I33"/>
    <mergeCell ref="K31:K33"/>
    <mergeCell ref="M31:M33"/>
    <mergeCell ref="O31:O33"/>
    <mergeCell ref="Q25:Q27"/>
    <mergeCell ref="D28:D30"/>
    <mergeCell ref="H28:H30"/>
    <mergeCell ref="I28:I30"/>
    <mergeCell ref="K28:K30"/>
    <mergeCell ref="M28:M30"/>
    <mergeCell ref="O28:O30"/>
    <mergeCell ref="Q28:Q30"/>
    <mergeCell ref="D25:D27"/>
    <mergeCell ref="H25:H27"/>
    <mergeCell ref="I25:I27"/>
    <mergeCell ref="K25:K27"/>
    <mergeCell ref="M25:M27"/>
    <mergeCell ref="O25:O27"/>
    <mergeCell ref="D16:D18"/>
    <mergeCell ref="H16:H18"/>
    <mergeCell ref="I16:I18"/>
    <mergeCell ref="K16:K18"/>
    <mergeCell ref="M16:M18"/>
    <mergeCell ref="O16:O18"/>
    <mergeCell ref="Q16:Q18"/>
    <mergeCell ref="Q19:Q21"/>
    <mergeCell ref="D22:D24"/>
    <mergeCell ref="H22:H24"/>
    <mergeCell ref="I22:I24"/>
    <mergeCell ref="K22:K24"/>
    <mergeCell ref="M22:M24"/>
    <mergeCell ref="O22:O24"/>
    <mergeCell ref="Q22:Q24"/>
    <mergeCell ref="D19:D21"/>
    <mergeCell ref="H19:H21"/>
    <mergeCell ref="I19:I21"/>
    <mergeCell ref="K19:K21"/>
    <mergeCell ref="M19:M21"/>
    <mergeCell ref="O19:O21"/>
    <mergeCell ref="K1:L1"/>
    <mergeCell ref="D12:E12"/>
    <mergeCell ref="D13:D15"/>
    <mergeCell ref="H13:H15"/>
    <mergeCell ref="I13:I15"/>
    <mergeCell ref="K13:K15"/>
    <mergeCell ref="M13:M15"/>
    <mergeCell ref="O13:O15"/>
    <mergeCell ref="Q13:Q15"/>
  </mergeCells>
  <pageMargins left="0.7" right="0.7" top="0.75" bottom="0.75" header="0.51180555555555551" footer="0.51180555555555551"/>
  <pageSetup paperSize="9" firstPageNumber="0" orientation="portrait" horizontalDpi="300" verticalDpi="300" r:id="rId1"/>
  <headerFooter alignWithMargins="0"/>
  <extLst>
    <ext xmlns:x14="http://schemas.microsoft.com/office/spreadsheetml/2009/9/main" uri="{05C60535-1F16-4fd2-B633-F4F36F0B64E0}">
      <x14:sparklineGroups xmlns:xm="http://schemas.microsoft.com/office/excel/2006/main">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'Zed Mini'!O89:O103</xm:f>
              <xm:sqref>A89</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F4"/>
  <sheetViews>
    <sheetView zoomScale="85" zoomScaleNormal="85" workbookViewId="0">
      <selection activeCell="I23" sqref="I23"/>
    </sheetView>
  </sheetViews>
  <sheetFormatPr baseColWidth="10" defaultRowHeight="12.75" x14ac:dyDescent="0.2"/>
  <cols>
    <col min="1" max="1" width="28.85546875" customWidth="1"/>
    <col min="2" max="2" width="22.140625" customWidth="1"/>
    <col min="3" max="3" width="66.7109375" customWidth="1"/>
    <col min="4" max="4" width="30" customWidth="1"/>
    <col min="5" max="5" width="14.28515625" customWidth="1"/>
    <col min="6" max="6" width="74" customWidth="1"/>
  </cols>
  <sheetData>
    <row r="1" spans="1:6" ht="33.75" thickBot="1" x14ac:dyDescent="0.25">
      <c r="A1" s="105" t="s">
        <v>181</v>
      </c>
      <c r="B1" s="105"/>
      <c r="C1" s="105"/>
      <c r="D1" s="105" t="s">
        <v>187</v>
      </c>
      <c r="E1" s="105"/>
      <c r="F1" s="105"/>
    </row>
    <row r="2" spans="1:6" ht="13.5" thickBot="1" x14ac:dyDescent="0.25">
      <c r="A2" s="62" t="s">
        <v>182</v>
      </c>
      <c r="B2" s="62" t="s">
        <v>196</v>
      </c>
      <c r="D2" s="62" t="s">
        <v>182</v>
      </c>
      <c r="E2" s="62" t="s">
        <v>196</v>
      </c>
    </row>
    <row r="3" spans="1:6" x14ac:dyDescent="0.2">
      <c r="A3" s="55" t="s">
        <v>3</v>
      </c>
      <c r="B3" s="59">
        <f>'Intel T265'!L3-'Experimental Procedure'!B10</f>
        <v>0.13</v>
      </c>
      <c r="D3" s="55" t="s">
        <v>3</v>
      </c>
      <c r="E3" s="59">
        <f>'Zed Mini'!L3-'Experimental Procedure'!B10</f>
        <v>0.33</v>
      </c>
    </row>
    <row r="4" spans="1:6" ht="13.5" thickBot="1" x14ac:dyDescent="0.25">
      <c r="A4" s="56" t="s">
        <v>5</v>
      </c>
      <c r="B4" s="61">
        <f>'Intel T265'!L4-'Experimental Procedure'!B11</f>
        <v>2.9999999999999971E-2</v>
      </c>
      <c r="D4" s="56" t="s">
        <v>5</v>
      </c>
      <c r="E4" s="61">
        <f>'Zed Mini'!L4-'Experimental Procedure'!B11</f>
        <v>0.10999999999999999</v>
      </c>
    </row>
  </sheetData>
  <mergeCells count="2">
    <mergeCell ref="A1:C1"/>
    <mergeCell ref="D1:F1"/>
  </mergeCells>
  <pageMargins left="0.7" right="0.7" top="0.78740157499999996" bottom="0.78740157499999996"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vt:i4>
      </vt:variant>
    </vt:vector>
  </HeadingPairs>
  <TitlesOfParts>
    <vt:vector size="12" baseType="lpstr">
      <vt:lpstr>System</vt:lpstr>
      <vt:lpstr>Requirements</vt:lpstr>
      <vt:lpstr>Experimental Procedure</vt:lpstr>
      <vt:lpstr>Intel T265</vt:lpstr>
      <vt:lpstr>Zed Mini</vt:lpstr>
      <vt:lpstr>Evaluation</vt:lpstr>
      <vt:lpstr>'Zed Mini'!_1</vt:lpstr>
      <vt:lpstr>'Zed Mini'!_2</vt:lpstr>
      <vt:lpstr>'Zed Mini'!_3</vt:lpstr>
      <vt:lpstr>'Zed Mini'!_4</vt:lpstr>
      <vt:lpstr>'Zed Mini'!_5</vt:lpstr>
      <vt:lpstr>'Zed Mini'!_6</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simulation</dc:creator>
  <cp:lastModifiedBy>simulation</cp:lastModifiedBy>
  <dcterms:created xsi:type="dcterms:W3CDTF">2021-02-16T13:32:04Z</dcterms:created>
  <dcterms:modified xsi:type="dcterms:W3CDTF">2021-03-02T18:13:39Z</dcterms:modified>
</cp:coreProperties>
</file>